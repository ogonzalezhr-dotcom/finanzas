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gon\OneDrive\Desktop\Reportería Geminí\"/>
    </mc:Choice>
  </mc:AlternateContent>
  <xr:revisionPtr revIDLastSave="0" documentId="13_ncr:1_{76DBFB90-FD61-4A32-A51E-F99A06CEF227}" xr6:coauthVersionLast="47" xr6:coauthVersionMax="47" xr10:uidLastSave="{00000000-0000-0000-0000-000000000000}"/>
  <bookViews>
    <workbookView xWindow="-108" yWindow="-108" windowWidth="23256" windowHeight="12456" xr2:uid="{618BB999-382A-49DB-906A-516DC77076E5}"/>
  </bookViews>
  <sheets>
    <sheet name="Saldos 2025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1" l="1"/>
  <c r="H5" i="1"/>
  <c r="H4" i="1"/>
  <c r="H3" i="1"/>
  <c r="H2" i="1"/>
  <c r="G6" i="1"/>
  <c r="F6" i="1"/>
  <c r="E6" i="1"/>
  <c r="D6" i="1"/>
  <c r="C6" i="1"/>
  <c r="B6" i="1"/>
  <c r="E5" i="1"/>
  <c r="E4" i="1"/>
  <c r="E3" i="1"/>
  <c r="E2" i="1"/>
  <c r="F5" i="1"/>
  <c r="F4" i="1"/>
  <c r="F3" i="1"/>
  <c r="F2" i="1"/>
</calcChain>
</file>

<file path=xl/sharedStrings.xml><?xml version="1.0" encoding="utf-8"?>
<sst xmlns="http://schemas.openxmlformats.org/spreadsheetml/2006/main" count="12" uniqueCount="12">
  <si>
    <t>SUBVENCIÓN SEP</t>
  </si>
  <si>
    <t>SUBVENCIÓN GENERAL</t>
  </si>
  <si>
    <t>MANTENIMIENTO</t>
  </si>
  <si>
    <t>PRO-RETENCIÓN</t>
  </si>
  <si>
    <t>SUBVENCIÓN</t>
  </si>
  <si>
    <t>INGRESOS 2026</t>
  </si>
  <si>
    <t>GASTOS 2026</t>
  </si>
  <si>
    <t>SALDOS 2025</t>
  </si>
  <si>
    <t>SALDO CONTABLE 2026</t>
  </si>
  <si>
    <t>SALDOS EN CARTOLA</t>
  </si>
  <si>
    <t>SALDOS POR ACREDITAR</t>
  </si>
  <si>
    <t>SALDOS NO ACREDITADOS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</si>
</sst>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BDA9-77F1-4439-8727-F747BF14DB07}">
  <dimension ref="A1:H6"/>
  <sheetViews>
    <sheetView tabSelected="1" workbookViewId="0">
      <selection activeCell="H12" sqref="H12"/>
    </sheetView>
  </sheetViews>
  <sheetFormatPr baseColWidth="10" defaultRowHeight="14.4" x14ac:dyDescent="0.3"/>
  <cols>
    <col min="1" max="1" width="20.33203125" bestFit="1" customWidth="1"/>
    <col min="2" max="2" width="17.88671875" style="1" bestFit="1" customWidth="1"/>
    <col min="3" max="3" width="13.77734375" style="1" bestFit="1" customWidth="1"/>
    <col min="4" max="4" width="12.6640625" style="1" bestFit="1" customWidth="1"/>
    <col min="5" max="5" width="20.6640625" style="1" bestFit="1" customWidth="1"/>
    <col min="6" max="6" width="21.44140625" style="1" bestFit="1" customWidth="1"/>
    <col min="7" max="7" width="18.88671875" bestFit="1" customWidth="1"/>
    <col min="8" max="8" width="23.44140625" style="1" bestFit="1" customWidth="1"/>
  </cols>
  <sheetData>
    <row r="1" spans="1:8" x14ac:dyDescent="0.3">
      <c r="A1" s="2" t="s">
        <v>4</v>
      </c>
      <c r="B1" s="3" t="s">
        <v>7</v>
      </c>
      <c r="C1" s="3" t="s">
        <v>5</v>
      </c>
      <c r="D1" s="3" t="s">
        <v>6</v>
      </c>
      <c r="E1" s="3" t="s">
        <v>8</v>
      </c>
      <c r="F1" s="3" t="s">
        <v>10</v>
      </c>
      <c r="G1" s="3" t="s">
        <v>9</v>
      </c>
      <c r="H1" s="8" t="s">
        <v>11</v>
      </c>
    </row>
    <row r="2" spans="1:8" x14ac:dyDescent="0.3">
      <c r="A2" s="4" t="s">
        <v>0</v>
      </c>
      <c r="B2" s="5">
        <v>103513637</v>
      </c>
      <c r="C2" s="5">
        <v>496825319</v>
      </c>
      <c r="D2" s="5">
        <v>461989667</v>
      </c>
      <c r="E2" s="7">
        <f>C2-D2</f>
        <v>34835652</v>
      </c>
      <c r="F2" s="5">
        <f>(B2+C2)-D2</f>
        <v>138349289</v>
      </c>
      <c r="G2" s="5">
        <v>64111403</v>
      </c>
      <c r="H2" s="5">
        <f>F2-G2</f>
        <v>74237886</v>
      </c>
    </row>
    <row r="3" spans="1:8" x14ac:dyDescent="0.3">
      <c r="A3" s="4" t="s">
        <v>1</v>
      </c>
      <c r="B3" s="5">
        <v>123448073</v>
      </c>
      <c r="C3" s="5">
        <v>1368404938</v>
      </c>
      <c r="D3" s="5">
        <v>1386354270</v>
      </c>
      <c r="E3" s="7">
        <f t="shared" ref="E3:E5" si="0">C3-D3</f>
        <v>-17949332</v>
      </c>
      <c r="F3" s="5">
        <f t="shared" ref="F3:F5" si="1">(B3+C3)-D3</f>
        <v>105498741</v>
      </c>
      <c r="G3" s="5">
        <v>92111403</v>
      </c>
      <c r="H3" s="5">
        <f>F3-G3</f>
        <v>13387338</v>
      </c>
    </row>
    <row r="4" spans="1:8" x14ac:dyDescent="0.3">
      <c r="A4" s="4" t="s">
        <v>2</v>
      </c>
      <c r="B4" s="5">
        <v>2502223</v>
      </c>
      <c r="C4" s="5">
        <v>22582520</v>
      </c>
      <c r="D4" s="5">
        <v>22797465</v>
      </c>
      <c r="E4" s="7">
        <f t="shared" si="0"/>
        <v>-214945</v>
      </c>
      <c r="F4" s="5">
        <f t="shared" si="1"/>
        <v>2287278</v>
      </c>
      <c r="G4" s="5">
        <v>6635404</v>
      </c>
      <c r="H4" s="5">
        <f>F4-G4</f>
        <v>-4348126</v>
      </c>
    </row>
    <row r="5" spans="1:8" x14ac:dyDescent="0.3">
      <c r="A5" s="4" t="s">
        <v>3</v>
      </c>
      <c r="B5" s="5">
        <v>37123221</v>
      </c>
      <c r="C5" s="5">
        <v>19733011</v>
      </c>
      <c r="D5" s="5">
        <v>5684916</v>
      </c>
      <c r="E5" s="7">
        <f t="shared" si="0"/>
        <v>14048095</v>
      </c>
      <c r="F5" s="5">
        <f t="shared" si="1"/>
        <v>51171316</v>
      </c>
      <c r="G5" s="5">
        <v>29212796</v>
      </c>
      <c r="H5" s="5">
        <f>F5-G5</f>
        <v>21958520</v>
      </c>
    </row>
    <row r="6" spans="1:8" x14ac:dyDescent="0.3">
      <c r="B6" s="6">
        <f>SUM(B2:B5)</f>
        <v>266587154</v>
      </c>
      <c r="C6" s="6">
        <f t="shared" ref="C6:G6" si="2">SUM(C2:C5)</f>
        <v>1907545788</v>
      </c>
      <c r="D6" s="6">
        <f t="shared" si="2"/>
        <v>1876826318</v>
      </c>
      <c r="E6" s="6">
        <f t="shared" si="2"/>
        <v>30719470</v>
      </c>
      <c r="F6" s="6">
        <f t="shared" si="2"/>
        <v>297306624</v>
      </c>
      <c r="G6" s="6">
        <f t="shared" si="2"/>
        <v>192071006</v>
      </c>
      <c r="H6" s="9">
        <f>SUM(H2:H5)</f>
        <v>105235618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Harberton Gonzalez Ortiz</dc:creator>
  <cp:lastModifiedBy>Ricardo Harberton Gonzalez Ortiz</cp:lastModifiedBy>
  <dcterms:created xsi:type="dcterms:W3CDTF">2026-09-20T19:55:41Z</dcterms:created>
  <dcterms:modified xsi:type="dcterms:W3CDTF">2026-09-20T21:32:04Z</dcterms:modified>
</cp:coreProperties>
</file>