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Reportería Geminí (Actualizado)\"/>
    </mc:Choice>
  </mc:AlternateContent>
  <xr:revisionPtr revIDLastSave="0" documentId="13_ncr:1_{D7610A4F-EEB1-47A8-AE39-5E5EDFF2C5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gresos" sheetId="6" r:id="rId1"/>
    <sheet name="Remuneraciones x Subvención" sheetId="4" r:id="rId2"/>
    <sheet name="G. Operacionales x Subvención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J16" i="6"/>
  <c r="J47" i="7"/>
  <c r="J22" i="6"/>
  <c r="J9" i="4"/>
  <c r="J8" i="4"/>
  <c r="J7" i="4"/>
  <c r="J4" i="4"/>
  <c r="J3" i="4"/>
  <c r="J2" i="4"/>
  <c r="I9" i="4"/>
  <c r="H9" i="4"/>
  <c r="G9" i="4"/>
  <c r="F9" i="4"/>
  <c r="E9" i="4"/>
  <c r="D9" i="4"/>
  <c r="C9" i="4"/>
  <c r="B9" i="4"/>
  <c r="I4" i="4"/>
  <c r="H4" i="4"/>
  <c r="G4" i="4"/>
  <c r="F4" i="4"/>
  <c r="E4" i="4"/>
  <c r="D4" i="4"/>
  <c r="C4" i="4"/>
  <c r="B4" i="4"/>
  <c r="J18" i="7" l="1"/>
</calcChain>
</file>

<file path=xl/sharedStrings.xml><?xml version="1.0" encoding="utf-8"?>
<sst xmlns="http://schemas.openxmlformats.org/spreadsheetml/2006/main" count="127" uniqueCount="83">
  <si>
    <t>ENERO</t>
  </si>
  <si>
    <t>PARTIDA X SUBVENCIÓN SEP</t>
  </si>
  <si>
    <t>FEBRERO</t>
  </si>
  <si>
    <t>MARZO</t>
  </si>
  <si>
    <t>ABRIL</t>
  </si>
  <si>
    <t>MAYO</t>
  </si>
  <si>
    <t>JUNIO</t>
  </si>
  <si>
    <t>JULIO</t>
  </si>
  <si>
    <t>AGOSTO</t>
  </si>
  <si>
    <t>Haberes</t>
  </si>
  <si>
    <t>Leyes Sociales</t>
  </si>
  <si>
    <t>Total</t>
  </si>
  <si>
    <t>TOTAL ENE-AGO</t>
  </si>
  <si>
    <t>ENE</t>
  </si>
  <si>
    <t>FEB</t>
  </si>
  <si>
    <t>MAR</t>
  </si>
  <si>
    <t>ABR</t>
  </si>
  <si>
    <t>MAY</t>
  </si>
  <si>
    <t>JUN</t>
  </si>
  <si>
    <t>JUL</t>
  </si>
  <si>
    <t>AGO</t>
  </si>
  <si>
    <t>TOTAL</t>
  </si>
  <si>
    <t>LEY Nª 19933</t>
  </si>
  <si>
    <t>SUBVENCIÓN BASE ART. 9º DFL Nº 2/98 + Le</t>
  </si>
  <si>
    <t>LEY Nº 19.410</t>
  </si>
  <si>
    <t>LEY Nº 19464 y N°21.109</t>
  </si>
  <si>
    <t>APORTE DE GRATUIDAD</t>
  </si>
  <si>
    <t>APORTE REFORMA DE PENSIONES LEY N°21.735 (INGRESO)</t>
  </si>
  <si>
    <t>BRP TÍTULO Y MENCIÓN LEY Nº 20.158</t>
  </si>
  <si>
    <t>ASIGNACIÓN DE RECONOCIMIENTO POR DOCENCIA EN EACAP</t>
  </si>
  <si>
    <t>ASIGNACIÓN POR TRAMO DE DESARROLLO PROFESIONAL</t>
  </si>
  <si>
    <t>RELIQUIDACIONES GENERAL SUBV. GENERAL</t>
  </si>
  <si>
    <t>PARTIDAS SEP</t>
  </si>
  <si>
    <t>SUBVENCIÓN ESCOLAR PREFERENCIAL, LEY N° 20.248</t>
  </si>
  <si>
    <t>SUBVENCIÓN POR CONCENTRACIÓN, ART.16 DE LA LEY N°2</t>
  </si>
  <si>
    <t>APORTE ADICIONAL SEP</t>
  </si>
  <si>
    <t>AJUSTES POR PAGO REZAGADO SEP</t>
  </si>
  <si>
    <t>BONO DE ESCOLARIAD Y ADICIONAL</t>
  </si>
  <si>
    <t>AGUINALDO DE NAVIDAD</t>
  </si>
  <si>
    <t>BONO ESPECIAL</t>
  </si>
  <si>
    <t>BONO VACACIONES</t>
  </si>
  <si>
    <t>PARTIDAS GASTOS OPERACIONALES SEP</t>
  </si>
  <si>
    <t>INDEMNIZACIONES Y/O FERIADO PROPORCIONAL</t>
  </si>
  <si>
    <t>ASESORÍA TÉCNICA Y CAPACITACIÓN DE EMPRESAS (REGIS</t>
  </si>
  <si>
    <t>INSTRUMENTOS MUSICALES Y ARTÍSTICOS</t>
  </si>
  <si>
    <t>MATERIAL Y RECURSOS DIDÁCTICOS</t>
  </si>
  <si>
    <t>EVENTOS EDUCATIVOS Y CULTURALES</t>
  </si>
  <si>
    <t>EQUIPOS INFORMÁTICOS Y LICENCIAS</t>
  </si>
  <si>
    <t>EQUIPOS MULTICOPIADORES</t>
  </si>
  <si>
    <t>OTROS GASTOS EN EQUIPAMIENTO DE APOYO PEDAGÓGICO</t>
  </si>
  <si>
    <t>OTROS GASTOS BIENESTAR ALUMNOS</t>
  </si>
  <si>
    <t>TALLERES EXTRAPROGRAMATICOS</t>
  </si>
  <si>
    <t>TRANSPORTE ESCOLAR</t>
  </si>
  <si>
    <t>ALIMENTACIÓN</t>
  </si>
  <si>
    <t>INSUMOS COMPUTACIONALES</t>
  </si>
  <si>
    <t>OTROS GASTOS DE OPERACIÓN</t>
  </si>
  <si>
    <t>INTERNET</t>
  </si>
  <si>
    <t>MANTENCIÓN Y REPARACIÓN DE MOBILIARIO ESCOLAR</t>
  </si>
  <si>
    <t>COMBUSTIBLE Y PEAJES</t>
  </si>
  <si>
    <t>GASTOS OPERACIÓN SUBVENCIÓN JEC</t>
  </si>
  <si>
    <t>OTROS GASTOS EN PERSONAL</t>
  </si>
  <si>
    <t>PERFECCIONAMIENTO DE RRHH, CAPACITACIONES Y ASESOR</t>
  </si>
  <si>
    <t>MATERIALES Y ÚTILES DE ASEO</t>
  </si>
  <si>
    <t>GASTOS MUNICIPALES E IMPUESTOS</t>
  </si>
  <si>
    <t>GASTOS BANCARIOS</t>
  </si>
  <si>
    <t>CONTRATACIÓN DE SEGUROS</t>
  </si>
  <si>
    <t>DEVOLUCIONES DE FONDOS PÚBLICOS</t>
  </si>
  <si>
    <t>AGUA</t>
  </si>
  <si>
    <t>GAS</t>
  </si>
  <si>
    <t>ELECTRICIDAD</t>
  </si>
  <si>
    <t>TELEFONÍA (MÓVIL Y FIJA)</t>
  </si>
  <si>
    <t>CONTRATACIÓN SERVICIOS DE ASEO Y JARDINERIA</t>
  </si>
  <si>
    <t>CONTRATACIÓN SERVICIOS DE SEGURIDAD</t>
  </si>
  <si>
    <t>GASTOS NOTARIALES</t>
  </si>
  <si>
    <t>CONTRATACIÓN OTROS SERVICIOS EXTERNOS</t>
  </si>
  <si>
    <t>MULTAS E INTERESES FISCALES Y PREVISIONALES</t>
  </si>
  <si>
    <t>ARRIENDO DE LOCAL ESCOLAR</t>
  </si>
  <si>
    <t>MANTENCIÓN Y REPARACIÓN DE INFRAESTRUCTURA</t>
  </si>
  <si>
    <t>INSTALACIONES ELÉCTRICAS, ILUMINACIÓN Y SISTEMAS D</t>
  </si>
  <si>
    <t>INSTALACIONES DE GAS</t>
  </si>
  <si>
    <t>MANTENCIÓN Y REPARACIÓN DE BIENES MUEBLES</t>
  </si>
  <si>
    <t>PARTIDAS JEC</t>
  </si>
  <si>
    <t>PARTIDA X SUBVENCIÓN JEC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</si>
</sst>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2"/>
      <name val="Verdana"/>
      <family val="2"/>
    </font>
    <font>
      <b/>
      <sz val="12"/>
      <color rgb="FFFFFFFF"/>
      <name val="Verdana"/>
      <family val="2"/>
    </font>
    <font>
      <sz val="8"/>
      <name val="Verdana"/>
      <family val="2"/>
    </font>
    <font>
      <b/>
      <sz val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4" fillId="0" borderId="0" xfId="1"/>
    <xf numFmtId="0" fontId="6" fillId="0" borderId="1" xfId="1" applyFont="1" applyBorder="1" applyAlignment="1">
      <alignment horizontal="left" vertical="center"/>
    </xf>
    <xf numFmtId="3" fontId="6" fillId="0" borderId="1" xfId="1" applyNumberFormat="1" applyFont="1" applyBorder="1" applyAlignment="1">
      <alignment horizontal="right" vertical="center"/>
    </xf>
    <xf numFmtId="0" fontId="6" fillId="0" borderId="1" xfId="1" applyFont="1" applyBorder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 vertical="center"/>
    </xf>
    <xf numFmtId="3" fontId="6" fillId="0" borderId="0" xfId="1" applyNumberFormat="1" applyFont="1" applyAlignment="1">
      <alignment horizontal="right" vertical="center"/>
    </xf>
    <xf numFmtId="3" fontId="7" fillId="2" borderId="1" xfId="1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right" vertical="center"/>
    </xf>
    <xf numFmtId="3" fontId="4" fillId="0" borderId="0" xfId="1" applyNumberFormat="1"/>
    <xf numFmtId="3" fontId="6" fillId="5" borderId="1" xfId="1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2C578BC1-7860-458D-8A6C-3D3337D18F7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549A-DA6F-4228-97AF-F001449332E6}">
  <dimension ref="A1:J23"/>
  <sheetViews>
    <sheetView zoomScaleNormal="100" workbookViewId="0">
      <selection activeCell="J22" activeCellId="1" sqref="J16 J22"/>
    </sheetView>
  </sheetViews>
  <sheetFormatPr baseColWidth="10" defaultColWidth="13.28515625" defaultRowHeight="15" x14ac:dyDescent="0.2"/>
  <cols>
    <col min="1" max="1" width="54.7109375" style="10" bestFit="1" customWidth="1"/>
    <col min="2" max="9" width="11.140625" style="10" bestFit="1" customWidth="1"/>
    <col min="10" max="10" width="14.140625" style="10" bestFit="1" customWidth="1"/>
    <col min="11" max="16384" width="13.28515625" style="10"/>
  </cols>
  <sheetData>
    <row r="1" spans="1:10" x14ac:dyDescent="0.2">
      <c r="A1" s="9" t="s">
        <v>81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</row>
    <row r="2" spans="1:10" x14ac:dyDescent="0.2">
      <c r="A2" s="11" t="s">
        <v>22</v>
      </c>
      <c r="B2" s="12">
        <v>10954775</v>
      </c>
      <c r="C2" s="12">
        <v>11173871</v>
      </c>
      <c r="D2" s="12">
        <v>11173871</v>
      </c>
      <c r="E2" s="12">
        <v>11223168</v>
      </c>
      <c r="F2" s="12">
        <v>10966019</v>
      </c>
      <c r="G2" s="12">
        <v>11115492</v>
      </c>
      <c r="H2" s="12">
        <v>10901073</v>
      </c>
      <c r="I2" s="12">
        <v>10703722</v>
      </c>
      <c r="J2" s="12">
        <v>88211991</v>
      </c>
    </row>
    <row r="3" spans="1:10" x14ac:dyDescent="0.2">
      <c r="A3" s="11" t="s">
        <v>23</v>
      </c>
      <c r="B3" s="12">
        <v>122452596</v>
      </c>
      <c r="C3" s="12">
        <v>124901646</v>
      </c>
      <c r="D3" s="12">
        <v>124901646</v>
      </c>
      <c r="E3" s="12">
        <v>124997543</v>
      </c>
      <c r="F3" s="12">
        <v>122143852</v>
      </c>
      <c r="G3" s="12">
        <v>123805528</v>
      </c>
      <c r="H3" s="12">
        <v>121415713</v>
      </c>
      <c r="I3" s="12">
        <v>119208615</v>
      </c>
      <c r="J3" s="12">
        <v>983827139</v>
      </c>
    </row>
    <row r="4" spans="1:10" x14ac:dyDescent="0.2">
      <c r="A4" s="11" t="s">
        <v>24</v>
      </c>
      <c r="B4" s="12">
        <v>3973028</v>
      </c>
      <c r="C4" s="12">
        <v>4052488</v>
      </c>
      <c r="D4" s="12">
        <v>4052488</v>
      </c>
      <c r="E4" s="12">
        <v>4058425</v>
      </c>
      <c r="F4" s="12">
        <v>3965297</v>
      </c>
      <c r="G4" s="12">
        <v>4019410</v>
      </c>
      <c r="H4" s="13"/>
      <c r="I4" s="12">
        <v>3870481</v>
      </c>
      <c r="J4" s="12">
        <v>27991617</v>
      </c>
    </row>
    <row r="5" spans="1:10" x14ac:dyDescent="0.2">
      <c r="A5" s="11" t="s">
        <v>25</v>
      </c>
      <c r="B5" s="12">
        <v>1135239</v>
      </c>
      <c r="C5" s="12">
        <v>1157946</v>
      </c>
      <c r="D5" s="12">
        <v>1157946</v>
      </c>
      <c r="E5" s="12">
        <v>1145595</v>
      </c>
      <c r="F5" s="12">
        <v>1120612</v>
      </c>
      <c r="G5" s="12">
        <v>1136196</v>
      </c>
      <c r="H5" s="12">
        <v>1114676</v>
      </c>
      <c r="I5" s="12">
        <v>1094031</v>
      </c>
      <c r="J5" s="12">
        <v>9062241</v>
      </c>
    </row>
    <row r="6" spans="1:10" x14ac:dyDescent="0.2">
      <c r="A6" s="11" t="s">
        <v>26</v>
      </c>
      <c r="B6" s="12">
        <v>18991004</v>
      </c>
      <c r="C6" s="12">
        <v>19370829</v>
      </c>
      <c r="D6" s="12">
        <v>19370829</v>
      </c>
      <c r="E6" s="12">
        <v>19164211</v>
      </c>
      <c r="F6" s="12">
        <v>18746312</v>
      </c>
      <c r="G6" s="12">
        <v>19006940</v>
      </c>
      <c r="H6" s="12">
        <v>18647043</v>
      </c>
      <c r="I6" s="12">
        <v>18301633</v>
      </c>
      <c r="J6" s="12">
        <v>151598801</v>
      </c>
    </row>
    <row r="7" spans="1:10" x14ac:dyDescent="0.2">
      <c r="A7" s="11" t="s">
        <v>27</v>
      </c>
      <c r="B7" s="13"/>
      <c r="C7" s="13"/>
      <c r="D7" s="12">
        <v>1616682</v>
      </c>
      <c r="E7" s="12">
        <v>1589320</v>
      </c>
      <c r="F7" s="12">
        <v>1555554</v>
      </c>
      <c r="G7" s="12">
        <v>1577434</v>
      </c>
      <c r="H7" s="12">
        <v>1547883</v>
      </c>
      <c r="I7" s="12">
        <v>2730924</v>
      </c>
      <c r="J7" s="12">
        <v>10617797</v>
      </c>
    </row>
    <row r="8" spans="1:10" x14ac:dyDescent="0.2">
      <c r="A8" s="11" t="s">
        <v>28</v>
      </c>
      <c r="B8" s="12">
        <v>5596061</v>
      </c>
      <c r="C8" s="12">
        <v>5931856</v>
      </c>
      <c r="D8" s="12">
        <v>4811591</v>
      </c>
      <c r="E8" s="12">
        <v>4893082</v>
      </c>
      <c r="F8" s="12">
        <v>5414624</v>
      </c>
      <c r="G8" s="12">
        <v>5292186</v>
      </c>
      <c r="H8" s="12">
        <v>6806238</v>
      </c>
      <c r="I8" s="12">
        <v>6723281</v>
      </c>
      <c r="J8" s="12">
        <v>45468919</v>
      </c>
    </row>
    <row r="9" spans="1:10" x14ac:dyDescent="0.2">
      <c r="A9" s="11" t="s">
        <v>29</v>
      </c>
      <c r="B9" s="13"/>
      <c r="C9" s="13"/>
      <c r="D9" s="13"/>
      <c r="E9" s="13"/>
      <c r="F9" s="13"/>
      <c r="G9" s="13"/>
      <c r="H9" s="12">
        <v>814618</v>
      </c>
      <c r="I9" s="12">
        <v>887139</v>
      </c>
      <c r="J9" s="12">
        <v>1701757</v>
      </c>
    </row>
    <row r="10" spans="1:10" x14ac:dyDescent="0.2">
      <c r="A10" s="11" t="s">
        <v>30</v>
      </c>
      <c r="B10" s="13"/>
      <c r="C10" s="13"/>
      <c r="D10" s="13"/>
      <c r="E10" s="13"/>
      <c r="F10" s="13"/>
      <c r="G10" s="13"/>
      <c r="H10" s="12">
        <v>1835221</v>
      </c>
      <c r="I10" s="12">
        <v>2029556</v>
      </c>
      <c r="J10" s="12">
        <v>3864777</v>
      </c>
    </row>
    <row r="11" spans="1:10" x14ac:dyDescent="0.2">
      <c r="A11" s="11" t="s">
        <v>31</v>
      </c>
      <c r="B11" s="13"/>
      <c r="C11" s="13"/>
      <c r="D11" s="12">
        <v>9479558</v>
      </c>
      <c r="E11" s="13"/>
      <c r="F11" s="13"/>
      <c r="G11" s="12">
        <v>-7620979</v>
      </c>
      <c r="H11" s="13"/>
      <c r="I11" s="13"/>
      <c r="J11" s="12">
        <v>1858579</v>
      </c>
    </row>
    <row r="12" spans="1:10" x14ac:dyDescent="0.2">
      <c r="A12" s="11" t="s">
        <v>37</v>
      </c>
      <c r="B12" s="13"/>
      <c r="C12" s="13"/>
      <c r="D12" s="12">
        <v>4201564</v>
      </c>
      <c r="E12" s="13"/>
      <c r="F12" s="13"/>
      <c r="G12" s="12">
        <v>2571924</v>
      </c>
      <c r="H12" s="13"/>
      <c r="I12" s="13"/>
      <c r="J12" s="12">
        <v>6773488</v>
      </c>
    </row>
    <row r="13" spans="1:10" x14ac:dyDescent="0.2">
      <c r="A13" s="11" t="s">
        <v>38</v>
      </c>
      <c r="B13" s="12">
        <v>7970806</v>
      </c>
      <c r="C13" s="13"/>
      <c r="D13" s="13"/>
      <c r="E13" s="12">
        <v>270990</v>
      </c>
      <c r="F13" s="13"/>
      <c r="G13" s="13"/>
      <c r="H13" s="13"/>
      <c r="I13" s="13"/>
      <c r="J13" s="12">
        <v>8241796</v>
      </c>
    </row>
    <row r="14" spans="1:10" x14ac:dyDescent="0.2">
      <c r="A14" s="11" t="s">
        <v>39</v>
      </c>
      <c r="B14" s="13"/>
      <c r="C14" s="13"/>
      <c r="D14" s="12">
        <v>15975000</v>
      </c>
      <c r="E14" s="13"/>
      <c r="F14" s="13"/>
      <c r="G14" s="13"/>
      <c r="H14" s="13"/>
      <c r="I14" s="13"/>
      <c r="J14" s="12">
        <v>15975000</v>
      </c>
    </row>
    <row r="15" spans="1:10" x14ac:dyDescent="0.2">
      <c r="A15" s="11" t="s">
        <v>40</v>
      </c>
      <c r="B15" s="13"/>
      <c r="C15" s="13"/>
      <c r="D15" s="12">
        <v>13211036</v>
      </c>
      <c r="E15" s="13"/>
      <c r="F15" s="13"/>
      <c r="G15" s="13"/>
      <c r="H15" s="13"/>
      <c r="I15" s="13"/>
      <c r="J15" s="12">
        <v>13211036</v>
      </c>
    </row>
    <row r="16" spans="1:10" x14ac:dyDescent="0.2">
      <c r="A16" s="14"/>
      <c r="B16" s="15"/>
      <c r="C16" s="15"/>
      <c r="D16" s="16"/>
      <c r="E16" s="15"/>
      <c r="F16" s="15"/>
      <c r="G16" s="16"/>
      <c r="H16" s="15"/>
      <c r="I16" s="15"/>
      <c r="J16" s="17">
        <f>SUM(J2:J15)</f>
        <v>1368404938</v>
      </c>
    </row>
    <row r="17" spans="1:10" x14ac:dyDescent="0.2">
      <c r="A17" s="9" t="s">
        <v>32</v>
      </c>
      <c r="B17" s="9" t="s">
        <v>13</v>
      </c>
      <c r="C17" s="9" t="s">
        <v>14</v>
      </c>
      <c r="D17" s="9" t="s">
        <v>15</v>
      </c>
      <c r="E17" s="9" t="s">
        <v>16</v>
      </c>
      <c r="F17" s="9" t="s">
        <v>17</v>
      </c>
      <c r="G17" s="9" t="s">
        <v>18</v>
      </c>
      <c r="H17" s="9" t="s">
        <v>19</v>
      </c>
      <c r="I17" s="9" t="s">
        <v>20</v>
      </c>
      <c r="J17" s="9" t="s">
        <v>21</v>
      </c>
    </row>
    <row r="18" spans="1:10" x14ac:dyDescent="0.2">
      <c r="A18" s="11" t="s">
        <v>33</v>
      </c>
      <c r="B18" s="12">
        <v>25611976</v>
      </c>
      <c r="C18" s="12">
        <v>26124218</v>
      </c>
      <c r="D18" s="12">
        <v>26124218</v>
      </c>
      <c r="E18" s="12">
        <v>26422693</v>
      </c>
      <c r="F18" s="12">
        <v>25737656</v>
      </c>
      <c r="G18" s="12">
        <v>26042673</v>
      </c>
      <c r="H18" s="12">
        <v>25469705</v>
      </c>
      <c r="I18" s="12">
        <v>24979858</v>
      </c>
      <c r="J18" s="12">
        <v>206512997</v>
      </c>
    </row>
    <row r="19" spans="1:10" x14ac:dyDescent="0.2">
      <c r="A19" s="11" t="s">
        <v>34</v>
      </c>
      <c r="B19" s="12">
        <v>10556052</v>
      </c>
      <c r="C19" s="12">
        <v>10767173</v>
      </c>
      <c r="D19" s="12">
        <v>10767173</v>
      </c>
      <c r="E19" s="12">
        <v>10453179</v>
      </c>
      <c r="F19" s="12">
        <v>10242927</v>
      </c>
      <c r="G19" s="12">
        <v>10386502</v>
      </c>
      <c r="H19" s="12">
        <v>10193460</v>
      </c>
      <c r="I19" s="12">
        <v>9996986</v>
      </c>
      <c r="J19" s="12">
        <v>83363452</v>
      </c>
    </row>
    <row r="20" spans="1:10" x14ac:dyDescent="0.2">
      <c r="A20" s="11" t="s">
        <v>35</v>
      </c>
      <c r="B20" s="12">
        <v>25611976</v>
      </c>
      <c r="C20" s="12">
        <v>26124218</v>
      </c>
      <c r="D20" s="12">
        <v>26124218</v>
      </c>
      <c r="E20" s="12">
        <v>26422693</v>
      </c>
      <c r="F20" s="12">
        <v>25737656</v>
      </c>
      <c r="G20" s="12">
        <v>26042673</v>
      </c>
      <c r="H20" s="12">
        <v>25469705</v>
      </c>
      <c r="I20" s="12">
        <v>24979858</v>
      </c>
      <c r="J20" s="12">
        <v>206512997</v>
      </c>
    </row>
    <row r="21" spans="1:10" x14ac:dyDescent="0.2">
      <c r="A21" s="11" t="s">
        <v>36</v>
      </c>
      <c r="B21" s="12">
        <v>899112</v>
      </c>
      <c r="C21" s="12">
        <v>2459825</v>
      </c>
      <c r="D21" s="13"/>
      <c r="E21" s="13"/>
      <c r="F21" s="13"/>
      <c r="G21" s="12">
        <v>-3204450</v>
      </c>
      <c r="H21" s="12">
        <v>181810</v>
      </c>
      <c r="I21" s="12">
        <v>99576</v>
      </c>
      <c r="J21" s="12">
        <v>435873</v>
      </c>
    </row>
    <row r="22" spans="1:10" x14ac:dyDescent="0.2">
      <c r="A22" s="14"/>
      <c r="B22" s="16"/>
      <c r="C22" s="16"/>
      <c r="D22" s="15"/>
      <c r="E22" s="15"/>
      <c r="F22" s="15"/>
      <c r="G22" s="16"/>
      <c r="H22" s="16"/>
      <c r="I22" s="16"/>
      <c r="J22" s="17">
        <f>SUM(J18:J21)</f>
        <v>496825319</v>
      </c>
    </row>
    <row r="23" spans="1:10" x14ac:dyDescent="0.2">
      <c r="A23" s="14"/>
      <c r="B23" s="15"/>
      <c r="C23" s="15"/>
      <c r="D23" s="16"/>
      <c r="E23" s="15"/>
      <c r="F23" s="15"/>
      <c r="G23" s="15"/>
      <c r="H23" s="15"/>
      <c r="I23" s="15"/>
      <c r="J23" s="16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"/>
  <sheetViews>
    <sheetView tabSelected="1" workbookViewId="0">
      <selection activeCell="J14" sqref="J14"/>
    </sheetView>
  </sheetViews>
  <sheetFormatPr baseColWidth="10" defaultColWidth="8.85546875" defaultRowHeight="15" x14ac:dyDescent="0.25"/>
  <cols>
    <col min="1" max="1" width="30.28515625" style="1" bestFit="1" customWidth="1"/>
    <col min="2" max="9" width="11.140625" style="1" bestFit="1" customWidth="1"/>
    <col min="10" max="10" width="14.42578125" style="1" bestFit="1" customWidth="1"/>
    <col min="11" max="26" width="8.85546875" style="1"/>
  </cols>
  <sheetData>
    <row r="1" spans="1:10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12</v>
      </c>
    </row>
    <row r="2" spans="1:10" x14ac:dyDescent="0.25">
      <c r="A2" s="4" t="s">
        <v>9</v>
      </c>
      <c r="B2" s="5">
        <v>40777727</v>
      </c>
      <c r="C2" s="5">
        <v>43037221</v>
      </c>
      <c r="D2" s="5">
        <v>37713694</v>
      </c>
      <c r="E2" s="5">
        <v>39789003</v>
      </c>
      <c r="F2" s="5">
        <v>38708002</v>
      </c>
      <c r="G2" s="5">
        <v>35217802</v>
      </c>
      <c r="H2" s="5">
        <v>35713206</v>
      </c>
      <c r="I2" s="5">
        <v>34886963</v>
      </c>
      <c r="J2" s="8">
        <f>SUM(B2:I2)</f>
        <v>305843618</v>
      </c>
    </row>
    <row r="3" spans="1:10" x14ac:dyDescent="0.25">
      <c r="A3" s="4" t="s">
        <v>10</v>
      </c>
      <c r="B3" s="5">
        <v>1863484</v>
      </c>
      <c r="C3" s="5">
        <v>1969599</v>
      </c>
      <c r="D3" s="5">
        <v>1755926</v>
      </c>
      <c r="E3" s="5">
        <v>1725208</v>
      </c>
      <c r="F3" s="5">
        <v>1711078</v>
      </c>
      <c r="G3" s="5">
        <v>1514372</v>
      </c>
      <c r="H3" s="5">
        <v>1650689</v>
      </c>
      <c r="I3" s="5">
        <v>1587811</v>
      </c>
      <c r="J3" s="8">
        <f>SUM(B3:I3)</f>
        <v>13778167</v>
      </c>
    </row>
    <row r="4" spans="1:10" x14ac:dyDescent="0.25">
      <c r="A4" s="4" t="s">
        <v>11</v>
      </c>
      <c r="B4" s="6">
        <f>B2+B3</f>
        <v>42641211</v>
      </c>
      <c r="C4" s="6">
        <f t="shared" ref="C4:J4" si="0">C2+C3</f>
        <v>45006820</v>
      </c>
      <c r="D4" s="6">
        <f t="shared" si="0"/>
        <v>39469620</v>
      </c>
      <c r="E4" s="6">
        <f t="shared" si="0"/>
        <v>41514211</v>
      </c>
      <c r="F4" s="6">
        <f t="shared" si="0"/>
        <v>40419080</v>
      </c>
      <c r="G4" s="6">
        <f t="shared" si="0"/>
        <v>36732174</v>
      </c>
      <c r="H4" s="6">
        <f t="shared" si="0"/>
        <v>37363895</v>
      </c>
      <c r="I4" s="6">
        <f t="shared" si="0"/>
        <v>36474774</v>
      </c>
      <c r="J4" s="7">
        <f t="shared" si="0"/>
        <v>319621785</v>
      </c>
    </row>
    <row r="5" spans="1:10" x14ac:dyDescent="0.25">
      <c r="B5" s="2"/>
    </row>
    <row r="6" spans="1:10" x14ac:dyDescent="0.25">
      <c r="A6" s="3" t="s">
        <v>82</v>
      </c>
      <c r="B6" s="3" t="s">
        <v>0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12</v>
      </c>
    </row>
    <row r="7" spans="1:10" x14ac:dyDescent="0.25">
      <c r="A7" s="4" t="s">
        <v>9</v>
      </c>
      <c r="B7" s="5">
        <v>126634127</v>
      </c>
      <c r="C7" s="5">
        <v>121977062</v>
      </c>
      <c r="D7" s="5">
        <v>121706300</v>
      </c>
      <c r="E7" s="5">
        <v>129323418</v>
      </c>
      <c r="F7" s="5">
        <v>112876887</v>
      </c>
      <c r="G7" s="5">
        <v>124220421</v>
      </c>
      <c r="H7" s="5">
        <v>121960856</v>
      </c>
      <c r="I7" s="5">
        <v>123851004</v>
      </c>
      <c r="J7" s="8">
        <f>SUM(B7:I7)</f>
        <v>982550075</v>
      </c>
    </row>
    <row r="8" spans="1:10" x14ac:dyDescent="0.25">
      <c r="A8" s="4" t="s">
        <v>10</v>
      </c>
      <c r="B8" s="5">
        <v>6537448</v>
      </c>
      <c r="C8" s="5">
        <v>6732467</v>
      </c>
      <c r="D8" s="5">
        <v>6103706</v>
      </c>
      <c r="E8" s="5">
        <v>6187830</v>
      </c>
      <c r="F8" s="5">
        <v>6240457</v>
      </c>
      <c r="G8" s="5">
        <v>6544769</v>
      </c>
      <c r="H8" s="5">
        <v>6947204</v>
      </c>
      <c r="I8" s="5">
        <v>7850286</v>
      </c>
      <c r="J8" s="8">
        <f>SUM(B8:I8)</f>
        <v>53144167</v>
      </c>
    </row>
    <row r="9" spans="1:10" x14ac:dyDescent="0.25">
      <c r="A9" s="4" t="s">
        <v>11</v>
      </c>
      <c r="B9" s="6">
        <f>B7+B8</f>
        <v>133171575</v>
      </c>
      <c r="C9" s="6">
        <f t="shared" ref="C9:J9" si="1">C7+C8</f>
        <v>128709529</v>
      </c>
      <c r="D9" s="6">
        <f t="shared" si="1"/>
        <v>127810006</v>
      </c>
      <c r="E9" s="6">
        <f t="shared" si="1"/>
        <v>135511248</v>
      </c>
      <c r="F9" s="6">
        <f t="shared" si="1"/>
        <v>119117344</v>
      </c>
      <c r="G9" s="6">
        <f t="shared" si="1"/>
        <v>130765190</v>
      </c>
      <c r="H9" s="6">
        <f t="shared" si="1"/>
        <v>128908060</v>
      </c>
      <c r="I9" s="6">
        <f t="shared" si="1"/>
        <v>131701290</v>
      </c>
      <c r="J9" s="7">
        <f t="shared" si="1"/>
        <v>1035694242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DEBE-816A-4628-B220-3AB0CEF3F3E4}">
  <dimension ref="A1:K47"/>
  <sheetViews>
    <sheetView topLeftCell="A25" zoomScaleNormal="100" workbookViewId="0">
      <selection activeCell="M35" sqref="M35"/>
    </sheetView>
  </sheetViews>
  <sheetFormatPr baseColWidth="10" defaultColWidth="13.28515625" defaultRowHeight="15" x14ac:dyDescent="0.2"/>
  <cols>
    <col min="1" max="1" width="55" style="10" bestFit="1" customWidth="1"/>
    <col min="2" max="2" width="10.140625" style="10" bestFit="1" customWidth="1"/>
    <col min="3" max="3" width="9.140625" style="10" bestFit="1" customWidth="1"/>
    <col min="4" max="9" width="10.140625" style="10" bestFit="1" customWidth="1"/>
    <col min="10" max="10" width="12.42578125" style="10" bestFit="1" customWidth="1"/>
    <col min="11" max="16384" width="13.28515625" style="10"/>
  </cols>
  <sheetData>
    <row r="1" spans="1:11" x14ac:dyDescent="0.2">
      <c r="A1" s="9" t="s">
        <v>41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</row>
    <row r="2" spans="1:11" x14ac:dyDescent="0.2">
      <c r="A2" s="11" t="s">
        <v>42</v>
      </c>
      <c r="B2" s="13"/>
      <c r="C2" s="13"/>
      <c r="D2" s="12">
        <v>19595622</v>
      </c>
      <c r="E2" s="12">
        <v>4819782</v>
      </c>
      <c r="F2" s="12">
        <v>246181</v>
      </c>
      <c r="G2" s="13"/>
      <c r="H2" s="13"/>
      <c r="I2" s="13"/>
      <c r="J2" s="12">
        <f>SUM(B2:I2)</f>
        <v>24661585</v>
      </c>
    </row>
    <row r="3" spans="1:11" x14ac:dyDescent="0.2">
      <c r="A3" s="11" t="s">
        <v>43</v>
      </c>
      <c r="B3" s="13"/>
      <c r="C3" s="13"/>
      <c r="D3" s="13"/>
      <c r="E3" s="13"/>
      <c r="F3" s="13"/>
      <c r="G3" s="13"/>
      <c r="H3" s="13"/>
      <c r="I3" s="12">
        <v>1784000</v>
      </c>
      <c r="J3" s="12">
        <f t="shared" ref="J3:J17" si="0">SUM(B3:I3)</f>
        <v>1784000</v>
      </c>
    </row>
    <row r="4" spans="1:11" x14ac:dyDescent="0.2">
      <c r="A4" s="11" t="s">
        <v>44</v>
      </c>
      <c r="B4" s="13"/>
      <c r="C4" s="13"/>
      <c r="D4" s="13"/>
      <c r="E4" s="12">
        <v>410610</v>
      </c>
      <c r="F4" s="13"/>
      <c r="G4" s="13"/>
      <c r="H4" s="13"/>
      <c r="I4" s="13"/>
      <c r="J4" s="12">
        <f t="shared" si="0"/>
        <v>410610</v>
      </c>
    </row>
    <row r="5" spans="1:11" x14ac:dyDescent="0.2">
      <c r="A5" s="11" t="s">
        <v>45</v>
      </c>
      <c r="B5" s="12">
        <v>314927</v>
      </c>
      <c r="C5" s="13"/>
      <c r="D5" s="12">
        <v>1832871</v>
      </c>
      <c r="E5" s="12">
        <v>9160163</v>
      </c>
      <c r="F5" s="13"/>
      <c r="G5" s="12">
        <v>2831117</v>
      </c>
      <c r="H5" s="12">
        <v>793283</v>
      </c>
      <c r="I5" s="12">
        <v>2258241</v>
      </c>
      <c r="J5" s="12">
        <f t="shared" si="0"/>
        <v>17190602</v>
      </c>
    </row>
    <row r="6" spans="1:11" x14ac:dyDescent="0.2">
      <c r="A6" s="11" t="s">
        <v>46</v>
      </c>
      <c r="B6" s="13"/>
      <c r="C6" s="13"/>
      <c r="D6" s="13"/>
      <c r="E6" s="13"/>
      <c r="F6" s="12">
        <v>1113782</v>
      </c>
      <c r="G6" s="13"/>
      <c r="H6" s="13"/>
      <c r="I6" s="13"/>
      <c r="J6" s="12">
        <f t="shared" si="0"/>
        <v>1113782</v>
      </c>
    </row>
    <row r="7" spans="1:11" x14ac:dyDescent="0.2">
      <c r="A7" s="11" t="s">
        <v>47</v>
      </c>
      <c r="B7" s="13"/>
      <c r="C7" s="13"/>
      <c r="D7" s="13"/>
      <c r="E7" s="12">
        <v>654370</v>
      </c>
      <c r="F7" s="13"/>
      <c r="G7" s="13"/>
      <c r="H7" s="13"/>
      <c r="I7" s="13"/>
      <c r="J7" s="12">
        <f t="shared" si="0"/>
        <v>654370</v>
      </c>
    </row>
    <row r="8" spans="1:11" x14ac:dyDescent="0.2">
      <c r="A8" s="11" t="s">
        <v>48</v>
      </c>
      <c r="B8" s="12">
        <v>266042</v>
      </c>
      <c r="C8" s="13"/>
      <c r="D8" s="13"/>
      <c r="E8" s="12">
        <v>1503458</v>
      </c>
      <c r="F8" s="13"/>
      <c r="G8" s="12">
        <v>1483341</v>
      </c>
      <c r="H8" s="12">
        <v>796014</v>
      </c>
      <c r="I8" s="12">
        <v>1033686</v>
      </c>
      <c r="J8" s="12">
        <f t="shared" si="0"/>
        <v>5082541</v>
      </c>
    </row>
    <row r="9" spans="1:11" x14ac:dyDescent="0.2">
      <c r="A9" s="11" t="s">
        <v>49</v>
      </c>
      <c r="B9" s="13"/>
      <c r="C9" s="13"/>
      <c r="D9" s="13"/>
      <c r="E9" s="13"/>
      <c r="F9" s="13"/>
      <c r="G9" s="13"/>
      <c r="H9" s="13"/>
      <c r="I9" s="12">
        <v>481046</v>
      </c>
      <c r="J9" s="12">
        <f t="shared" si="0"/>
        <v>481046</v>
      </c>
    </row>
    <row r="10" spans="1:11" x14ac:dyDescent="0.2">
      <c r="A10" s="11" t="s">
        <v>50</v>
      </c>
      <c r="B10" s="13"/>
      <c r="C10" s="13"/>
      <c r="D10" s="13"/>
      <c r="E10" s="13"/>
      <c r="F10" s="13"/>
      <c r="G10" s="12">
        <v>300000</v>
      </c>
      <c r="H10" s="13"/>
      <c r="I10" s="13"/>
      <c r="J10" s="12">
        <f t="shared" si="0"/>
        <v>300000</v>
      </c>
    </row>
    <row r="11" spans="1:11" x14ac:dyDescent="0.2">
      <c r="A11" s="11" t="s">
        <v>51</v>
      </c>
      <c r="B11" s="12">
        <v>685439</v>
      </c>
      <c r="C11" s="13"/>
      <c r="D11" s="13"/>
      <c r="E11" s="12">
        <v>1379381</v>
      </c>
      <c r="F11" s="12">
        <v>844779</v>
      </c>
      <c r="G11" s="12">
        <v>4342124</v>
      </c>
      <c r="H11" s="12">
        <v>747500</v>
      </c>
      <c r="I11" s="12">
        <v>501592</v>
      </c>
      <c r="J11" s="12">
        <f t="shared" si="0"/>
        <v>8500815</v>
      </c>
    </row>
    <row r="12" spans="1:11" x14ac:dyDescent="0.2">
      <c r="A12" s="11" t="s">
        <v>52</v>
      </c>
      <c r="B12" s="13"/>
      <c r="C12" s="13"/>
      <c r="D12" s="13"/>
      <c r="E12" s="12">
        <v>290000</v>
      </c>
      <c r="F12" s="13"/>
      <c r="G12" s="12">
        <v>4270000</v>
      </c>
      <c r="H12" s="13"/>
      <c r="I12" s="12">
        <v>1750000</v>
      </c>
      <c r="J12" s="12">
        <f t="shared" si="0"/>
        <v>6310000</v>
      </c>
    </row>
    <row r="13" spans="1:11" x14ac:dyDescent="0.2">
      <c r="A13" s="11" t="s">
        <v>53</v>
      </c>
      <c r="B13" s="12">
        <v>2637690</v>
      </c>
      <c r="C13" s="13"/>
      <c r="D13" s="12">
        <v>2209256</v>
      </c>
      <c r="E13" s="12">
        <v>1677254</v>
      </c>
      <c r="F13" s="12">
        <v>249737</v>
      </c>
      <c r="G13" s="12">
        <v>3234348</v>
      </c>
      <c r="H13" s="12">
        <v>227069</v>
      </c>
      <c r="I13" s="12">
        <v>344649</v>
      </c>
      <c r="J13" s="12">
        <f t="shared" si="0"/>
        <v>10580003</v>
      </c>
    </row>
    <row r="14" spans="1:11" x14ac:dyDescent="0.2">
      <c r="A14" s="11" t="s">
        <v>54</v>
      </c>
      <c r="B14" s="13"/>
      <c r="C14" s="13"/>
      <c r="D14" s="13"/>
      <c r="E14" s="13"/>
      <c r="F14" s="13"/>
      <c r="G14" s="13"/>
      <c r="H14" s="13"/>
      <c r="I14" s="12">
        <v>742560</v>
      </c>
      <c r="J14" s="12">
        <f t="shared" si="0"/>
        <v>742560</v>
      </c>
    </row>
    <row r="15" spans="1:11" x14ac:dyDescent="0.2">
      <c r="A15" s="11" t="s">
        <v>55</v>
      </c>
      <c r="B15" s="12">
        <v>2455147</v>
      </c>
      <c r="C15" s="12">
        <v>7294237</v>
      </c>
      <c r="D15" s="12">
        <v>6772820</v>
      </c>
      <c r="E15" s="12">
        <v>7246071</v>
      </c>
      <c r="F15" s="12">
        <v>2480240</v>
      </c>
      <c r="G15" s="12">
        <v>13011555</v>
      </c>
      <c r="H15" s="12">
        <v>14558470</v>
      </c>
      <c r="I15" s="12">
        <v>8233151</v>
      </c>
      <c r="J15" s="12">
        <f t="shared" si="0"/>
        <v>62051691</v>
      </c>
      <c r="K15" s="23"/>
    </row>
    <row r="16" spans="1:11" x14ac:dyDescent="0.2">
      <c r="A16" s="11" t="s">
        <v>56</v>
      </c>
      <c r="B16" s="13"/>
      <c r="C16" s="13"/>
      <c r="D16" s="13"/>
      <c r="E16" s="12">
        <v>223783</v>
      </c>
      <c r="F16" s="13"/>
      <c r="G16" s="12">
        <v>477517</v>
      </c>
      <c r="H16" s="24">
        <v>229294</v>
      </c>
      <c r="I16" s="12">
        <v>229417</v>
      </c>
      <c r="J16" s="12">
        <f t="shared" si="0"/>
        <v>1160011</v>
      </c>
    </row>
    <row r="17" spans="1:10" x14ac:dyDescent="0.2">
      <c r="A17" s="11" t="s">
        <v>57</v>
      </c>
      <c r="B17" s="13"/>
      <c r="C17" s="12">
        <v>1344266</v>
      </c>
      <c r="D17" s="13"/>
      <c r="E17" s="13"/>
      <c r="F17" s="13"/>
      <c r="G17" s="13"/>
      <c r="H17" s="13"/>
      <c r="I17" s="13"/>
      <c r="J17" s="12">
        <f t="shared" si="0"/>
        <v>1344266</v>
      </c>
    </row>
    <row r="18" spans="1:10" x14ac:dyDescent="0.2">
      <c r="J18" s="17">
        <f>SUM(J2:J17)</f>
        <v>142367882</v>
      </c>
    </row>
    <row r="19" spans="1:10" x14ac:dyDescent="0.2">
      <c r="A19" s="21" t="s">
        <v>59</v>
      </c>
      <c r="B19" s="21" t="s">
        <v>13</v>
      </c>
      <c r="C19" s="21" t="s">
        <v>14</v>
      </c>
      <c r="D19" s="21" t="s">
        <v>15</v>
      </c>
      <c r="E19" s="21" t="s">
        <v>16</v>
      </c>
      <c r="F19" s="21" t="s">
        <v>17</v>
      </c>
      <c r="G19" s="21" t="s">
        <v>18</v>
      </c>
      <c r="H19" s="21" t="s">
        <v>19</v>
      </c>
      <c r="I19" s="21" t="s">
        <v>20</v>
      </c>
      <c r="J19" s="21" t="s">
        <v>21</v>
      </c>
    </row>
    <row r="20" spans="1:10" x14ac:dyDescent="0.2">
      <c r="A20" s="20" t="s">
        <v>42</v>
      </c>
      <c r="B20" s="19"/>
      <c r="C20" s="18">
        <v>1900000</v>
      </c>
      <c r="D20" s="18">
        <v>43869277</v>
      </c>
      <c r="E20" s="18">
        <v>4040224</v>
      </c>
      <c r="F20" s="18">
        <v>2811714</v>
      </c>
      <c r="G20" s="18">
        <v>2811714</v>
      </c>
      <c r="H20" s="18">
        <v>2766714</v>
      </c>
      <c r="I20" s="18">
        <v>2811714</v>
      </c>
      <c r="J20" s="18">
        <v>61011357</v>
      </c>
    </row>
    <row r="21" spans="1:10" x14ac:dyDescent="0.2">
      <c r="A21" s="20" t="s">
        <v>60</v>
      </c>
      <c r="B21" s="19"/>
      <c r="C21" s="19"/>
      <c r="D21" s="19"/>
      <c r="E21" s="19"/>
      <c r="F21" s="18">
        <v>1570395</v>
      </c>
      <c r="G21" s="19"/>
      <c r="H21" s="19"/>
      <c r="I21" s="19"/>
      <c r="J21" s="18">
        <v>1570395</v>
      </c>
    </row>
    <row r="22" spans="1:10" x14ac:dyDescent="0.2">
      <c r="A22" s="20" t="s">
        <v>61</v>
      </c>
      <c r="B22" s="19"/>
      <c r="C22" s="19"/>
      <c r="D22" s="18">
        <v>960000</v>
      </c>
      <c r="E22" s="19"/>
      <c r="F22" s="19"/>
      <c r="G22" s="19"/>
      <c r="H22" s="18">
        <v>1887906</v>
      </c>
      <c r="I22" s="18">
        <v>2887914</v>
      </c>
      <c r="J22" s="18">
        <v>5735820</v>
      </c>
    </row>
    <row r="23" spans="1:10" x14ac:dyDescent="0.2">
      <c r="A23" s="20" t="s">
        <v>47</v>
      </c>
      <c r="B23" s="19"/>
      <c r="C23" s="19"/>
      <c r="D23" s="19"/>
      <c r="E23" s="19"/>
      <c r="F23" s="19"/>
      <c r="G23" s="19"/>
      <c r="H23" s="19"/>
      <c r="I23" s="18">
        <v>629380</v>
      </c>
      <c r="J23" s="18">
        <v>629380</v>
      </c>
    </row>
    <row r="24" spans="1:10" x14ac:dyDescent="0.2">
      <c r="A24" s="20" t="s">
        <v>54</v>
      </c>
      <c r="B24" s="19"/>
      <c r="C24" s="19"/>
      <c r="D24" s="18">
        <v>856110</v>
      </c>
      <c r="E24" s="19"/>
      <c r="F24" s="19"/>
      <c r="G24" s="19"/>
      <c r="H24" s="19"/>
      <c r="I24" s="19"/>
      <c r="J24" s="18">
        <v>856110</v>
      </c>
    </row>
    <row r="25" spans="1:10" x14ac:dyDescent="0.2">
      <c r="A25" s="20" t="s">
        <v>58</v>
      </c>
      <c r="B25" s="18">
        <v>76009</v>
      </c>
      <c r="C25" s="19"/>
      <c r="D25" s="18">
        <v>448449</v>
      </c>
      <c r="E25" s="18">
        <v>124123</v>
      </c>
      <c r="F25" s="18">
        <v>227525</v>
      </c>
      <c r="G25" s="18">
        <v>230981</v>
      </c>
      <c r="H25" s="18">
        <v>85844</v>
      </c>
      <c r="I25" s="18">
        <v>146593</v>
      </c>
      <c r="J25" s="18">
        <v>1339524</v>
      </c>
    </row>
    <row r="26" spans="1:10" x14ac:dyDescent="0.2">
      <c r="A26" s="20" t="s">
        <v>62</v>
      </c>
      <c r="B26" s="19"/>
      <c r="C26" s="19"/>
      <c r="D26" s="18">
        <v>1880853</v>
      </c>
      <c r="E26" s="18">
        <v>1914323</v>
      </c>
      <c r="F26" s="18">
        <v>1859872</v>
      </c>
      <c r="G26" s="19"/>
      <c r="H26" s="19"/>
      <c r="I26" s="18">
        <v>2500508</v>
      </c>
      <c r="J26" s="18">
        <v>8155556</v>
      </c>
    </row>
    <row r="27" spans="1:10" x14ac:dyDescent="0.2">
      <c r="A27" s="20" t="s">
        <v>55</v>
      </c>
      <c r="B27" s="18">
        <v>244830</v>
      </c>
      <c r="C27" s="19"/>
      <c r="D27" s="18">
        <v>606899</v>
      </c>
      <c r="E27" s="18">
        <v>79570</v>
      </c>
      <c r="F27" s="18">
        <v>105744</v>
      </c>
      <c r="G27" s="18">
        <v>626117</v>
      </c>
      <c r="H27" s="18">
        <v>297763</v>
      </c>
      <c r="I27" s="18">
        <v>2948182</v>
      </c>
      <c r="J27" s="18">
        <v>4909105</v>
      </c>
    </row>
    <row r="28" spans="1:10" x14ac:dyDescent="0.2">
      <c r="A28" s="20" t="s">
        <v>63</v>
      </c>
      <c r="B28" s="19"/>
      <c r="C28" s="19"/>
      <c r="D28" s="18">
        <v>61965</v>
      </c>
      <c r="E28" s="19"/>
      <c r="F28" s="19"/>
      <c r="G28" s="19"/>
      <c r="H28" s="19"/>
      <c r="I28" s="18">
        <v>63089</v>
      </c>
      <c r="J28" s="18">
        <v>125054</v>
      </c>
    </row>
    <row r="29" spans="1:10" x14ac:dyDescent="0.2">
      <c r="A29" s="20" t="s">
        <v>64</v>
      </c>
      <c r="B29" s="18">
        <v>620592</v>
      </c>
      <c r="C29" s="18">
        <v>622147</v>
      </c>
      <c r="D29" s="18">
        <v>619060</v>
      </c>
      <c r="E29" s="18">
        <v>686711</v>
      </c>
      <c r="F29" s="18">
        <v>695807</v>
      </c>
      <c r="G29" s="18">
        <v>632757</v>
      </c>
      <c r="H29" s="18">
        <v>635571</v>
      </c>
      <c r="I29" s="18">
        <v>641638</v>
      </c>
      <c r="J29" s="18">
        <v>5154283</v>
      </c>
    </row>
    <row r="30" spans="1:10" x14ac:dyDescent="0.2">
      <c r="A30" s="20" t="s">
        <v>65</v>
      </c>
      <c r="B30" s="18">
        <v>1568897</v>
      </c>
      <c r="C30" s="18">
        <v>7466</v>
      </c>
      <c r="D30" s="18">
        <v>14973</v>
      </c>
      <c r="E30" s="18">
        <v>7538</v>
      </c>
      <c r="F30" s="18">
        <v>7625</v>
      </c>
      <c r="G30" s="18">
        <v>7674</v>
      </c>
      <c r="H30" s="19"/>
      <c r="I30" s="19"/>
      <c r="J30" s="18">
        <v>1614173</v>
      </c>
    </row>
    <row r="31" spans="1:10" x14ac:dyDescent="0.2">
      <c r="A31" s="20" t="s">
        <v>66</v>
      </c>
      <c r="B31" s="19"/>
      <c r="C31" s="19"/>
      <c r="D31" s="19"/>
      <c r="E31" s="19"/>
      <c r="F31" s="18">
        <v>2766415</v>
      </c>
      <c r="G31" s="19"/>
      <c r="H31" s="19"/>
      <c r="I31" s="19"/>
      <c r="J31" s="18">
        <v>2766415</v>
      </c>
    </row>
    <row r="32" spans="1:10" x14ac:dyDescent="0.2">
      <c r="A32" s="20" t="s">
        <v>67</v>
      </c>
      <c r="B32" s="18">
        <v>1805560</v>
      </c>
      <c r="C32" s="18">
        <v>1564830</v>
      </c>
      <c r="D32" s="18">
        <v>1383340</v>
      </c>
      <c r="E32" s="18">
        <v>2223430</v>
      </c>
      <c r="F32" s="18">
        <v>1355170</v>
      </c>
      <c r="G32" s="18">
        <v>1594440</v>
      </c>
      <c r="H32" s="18">
        <v>1325870</v>
      </c>
      <c r="I32" s="18">
        <v>1356600</v>
      </c>
      <c r="J32" s="18">
        <v>12609240</v>
      </c>
    </row>
    <row r="33" spans="1:10" x14ac:dyDescent="0.2">
      <c r="A33" s="20" t="s">
        <v>68</v>
      </c>
      <c r="B33" s="19"/>
      <c r="C33" s="19"/>
      <c r="D33" s="19"/>
      <c r="E33" s="19"/>
      <c r="F33" s="19"/>
      <c r="G33" s="18">
        <v>90000</v>
      </c>
      <c r="H33" s="18">
        <v>228002</v>
      </c>
      <c r="I33" s="19"/>
      <c r="J33" s="18">
        <v>318002</v>
      </c>
    </row>
    <row r="34" spans="1:10" x14ac:dyDescent="0.2">
      <c r="A34" s="20" t="s">
        <v>69</v>
      </c>
      <c r="B34" s="19"/>
      <c r="C34" s="18">
        <v>6061003</v>
      </c>
      <c r="D34" s="19"/>
      <c r="E34" s="18">
        <v>3954057</v>
      </c>
      <c r="F34" s="19"/>
      <c r="G34" s="18">
        <v>6270170</v>
      </c>
      <c r="H34" s="18">
        <v>2947087</v>
      </c>
      <c r="I34" s="18">
        <v>403994</v>
      </c>
      <c r="J34" s="18">
        <v>19636311</v>
      </c>
    </row>
    <row r="35" spans="1:10" x14ac:dyDescent="0.2">
      <c r="A35" s="20" t="s">
        <v>70</v>
      </c>
      <c r="B35" s="19"/>
      <c r="C35" s="18">
        <v>975768</v>
      </c>
      <c r="D35" s="19"/>
      <c r="E35" s="18">
        <v>1894062</v>
      </c>
      <c r="F35" s="19"/>
      <c r="G35" s="18">
        <v>1076306</v>
      </c>
      <c r="H35" s="18">
        <v>472684</v>
      </c>
      <c r="I35" s="18">
        <v>299794</v>
      </c>
      <c r="J35" s="18">
        <v>4718614</v>
      </c>
    </row>
    <row r="36" spans="1:10" x14ac:dyDescent="0.2">
      <c r="A36" s="20" t="s">
        <v>71</v>
      </c>
      <c r="B36" s="18">
        <v>140351</v>
      </c>
      <c r="C36" s="18">
        <v>1426491</v>
      </c>
      <c r="D36" s="18">
        <v>1534195</v>
      </c>
      <c r="E36" s="18">
        <v>176991</v>
      </c>
      <c r="F36" s="18">
        <v>70796</v>
      </c>
      <c r="G36" s="19"/>
      <c r="H36" s="18">
        <v>1249500</v>
      </c>
      <c r="I36" s="19"/>
      <c r="J36" s="18">
        <v>4598324</v>
      </c>
    </row>
    <row r="37" spans="1:10" x14ac:dyDescent="0.2">
      <c r="A37" s="20" t="s">
        <v>72</v>
      </c>
      <c r="B37" s="18">
        <v>3794849</v>
      </c>
      <c r="C37" s="19"/>
      <c r="D37" s="18">
        <v>3794849</v>
      </c>
      <c r="E37" s="19"/>
      <c r="F37" s="18">
        <v>3794849</v>
      </c>
      <c r="G37" s="18">
        <v>1545719</v>
      </c>
      <c r="H37" s="18">
        <v>3224279</v>
      </c>
      <c r="I37" s="18">
        <v>1440509</v>
      </c>
      <c r="J37" s="18">
        <v>17595054</v>
      </c>
    </row>
    <row r="38" spans="1:10" x14ac:dyDescent="0.2">
      <c r="A38" s="20" t="s">
        <v>73</v>
      </c>
      <c r="B38" s="19"/>
      <c r="C38" s="19"/>
      <c r="D38" s="18">
        <v>10000</v>
      </c>
      <c r="E38" s="18">
        <v>45000</v>
      </c>
      <c r="F38" s="18">
        <v>84000</v>
      </c>
      <c r="G38" s="18">
        <v>18000</v>
      </c>
      <c r="H38" s="18">
        <v>15000</v>
      </c>
      <c r="I38" s="19"/>
      <c r="J38" s="18">
        <v>172000</v>
      </c>
    </row>
    <row r="39" spans="1:10" x14ac:dyDescent="0.2">
      <c r="A39" s="20" t="s">
        <v>74</v>
      </c>
      <c r="B39" s="18">
        <v>5151705</v>
      </c>
      <c r="C39" s="18">
        <v>1643288</v>
      </c>
      <c r="D39" s="18">
        <v>5259783</v>
      </c>
      <c r="E39" s="18">
        <v>2596771</v>
      </c>
      <c r="F39" s="18">
        <v>4610050</v>
      </c>
      <c r="G39" s="18">
        <v>3370096</v>
      </c>
      <c r="H39" s="18">
        <v>1457839</v>
      </c>
      <c r="I39" s="18">
        <v>2417004</v>
      </c>
      <c r="J39" s="18">
        <v>26506536</v>
      </c>
    </row>
    <row r="40" spans="1:10" x14ac:dyDescent="0.2">
      <c r="A40" s="20" t="s">
        <v>75</v>
      </c>
      <c r="B40" s="19"/>
      <c r="C40" s="19"/>
      <c r="D40" s="19"/>
      <c r="E40" s="18">
        <v>145356</v>
      </c>
      <c r="F40" s="19"/>
      <c r="G40" s="19"/>
      <c r="H40" s="18">
        <v>127248</v>
      </c>
      <c r="I40" s="19"/>
      <c r="J40" s="18">
        <v>272604</v>
      </c>
    </row>
    <row r="41" spans="1:10" x14ac:dyDescent="0.2">
      <c r="A41" s="20" t="s">
        <v>76</v>
      </c>
      <c r="B41" s="18">
        <v>17171742</v>
      </c>
      <c r="C41" s="19"/>
      <c r="D41" s="18">
        <v>51772803</v>
      </c>
      <c r="E41" s="18">
        <v>17429319</v>
      </c>
      <c r="F41" s="18">
        <v>17429319</v>
      </c>
      <c r="G41" s="18">
        <v>17429319</v>
      </c>
      <c r="H41" s="18">
        <v>515154</v>
      </c>
      <c r="I41" s="18">
        <v>35834686</v>
      </c>
      <c r="J41" s="18">
        <v>157582342</v>
      </c>
    </row>
    <row r="42" spans="1:10" x14ac:dyDescent="0.2">
      <c r="A42" s="20" t="s">
        <v>77</v>
      </c>
      <c r="B42" s="18">
        <v>2342689</v>
      </c>
      <c r="C42" s="19"/>
      <c r="D42" s="18">
        <v>261057</v>
      </c>
      <c r="E42" s="18">
        <v>297217</v>
      </c>
      <c r="F42" s="18">
        <v>891813</v>
      </c>
      <c r="G42" s="18">
        <v>1887626</v>
      </c>
      <c r="H42" s="18">
        <v>81813</v>
      </c>
      <c r="I42" s="18">
        <v>3696349</v>
      </c>
      <c r="J42" s="18">
        <v>9458564</v>
      </c>
    </row>
    <row r="43" spans="1:10" x14ac:dyDescent="0.2">
      <c r="A43" s="20" t="s">
        <v>78</v>
      </c>
      <c r="B43" s="19"/>
      <c r="C43" s="19"/>
      <c r="D43" s="19"/>
      <c r="E43" s="18">
        <v>1098650</v>
      </c>
      <c r="F43" s="19"/>
      <c r="G43" s="18">
        <v>677000</v>
      </c>
      <c r="H43" s="19"/>
      <c r="I43" s="19"/>
      <c r="J43" s="18">
        <v>1775650</v>
      </c>
    </row>
    <row r="44" spans="1:10" x14ac:dyDescent="0.2">
      <c r="A44" s="20" t="s">
        <v>79</v>
      </c>
      <c r="B44" s="18">
        <v>141797</v>
      </c>
      <c r="C44" s="19"/>
      <c r="D44" s="19"/>
      <c r="E44" s="19"/>
      <c r="F44" s="19"/>
      <c r="G44" s="19"/>
      <c r="H44" s="19"/>
      <c r="I44" s="19"/>
      <c r="J44" s="18">
        <v>141797</v>
      </c>
    </row>
    <row r="45" spans="1:10" x14ac:dyDescent="0.2">
      <c r="A45" s="20" t="s">
        <v>80</v>
      </c>
      <c r="B45" s="19"/>
      <c r="C45" s="19"/>
      <c r="D45" s="19"/>
      <c r="E45" s="19"/>
      <c r="F45" s="19"/>
      <c r="G45" s="19"/>
      <c r="H45" s="19"/>
      <c r="I45" s="18">
        <v>708050</v>
      </c>
      <c r="J45" s="18">
        <v>708050</v>
      </c>
    </row>
    <row r="46" spans="1:10" x14ac:dyDescent="0.2">
      <c r="A46" s="20" t="s">
        <v>57</v>
      </c>
      <c r="B46" s="19"/>
      <c r="C46" s="19"/>
      <c r="D46" s="18">
        <v>666400</v>
      </c>
      <c r="E46" s="18">
        <v>70796</v>
      </c>
      <c r="F46" s="19"/>
      <c r="G46" s="19"/>
      <c r="H46" s="19"/>
      <c r="I46" s="19"/>
      <c r="J46" s="18">
        <v>737196</v>
      </c>
    </row>
    <row r="47" spans="1:10" ht="15.75" x14ac:dyDescent="0.25">
      <c r="A47"/>
      <c r="B47"/>
      <c r="C47"/>
      <c r="D47"/>
      <c r="E47"/>
      <c r="F47"/>
      <c r="G47"/>
      <c r="H47"/>
      <c r="I47"/>
      <c r="J47" s="22">
        <f>SUM(J20:J46)</f>
        <v>350697456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Ingresos</vt:lpstr>
      <vt:lpstr>Remuneraciones x Subvención</vt:lpstr>
      <vt:lpstr>G. Operacionales x Subvención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Ricardo Harberton Gonzalez Ortiz</cp:lastModifiedBy>
  <dcterms:created xsi:type="dcterms:W3CDTF">2026-09-15T20:28:24Z</dcterms:created>
  <dcterms:modified xsi:type="dcterms:W3CDTF">2026-09-23T13:42:18Z</dcterms:modified>
  <cp:category/>
</cp:coreProperties>
</file>