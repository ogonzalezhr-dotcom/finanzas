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eportería Geminí (Actualizado)\"/>
    </mc:Choice>
  </mc:AlternateContent>
  <xr:revisionPtr revIDLastSave="0" documentId="13_ncr:1_{17F1FBE5-D5DF-491E-A8F7-C6589A6DF317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Gas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2" i="1" l="1"/>
  <c r="J71" i="1"/>
  <c r="J70" i="1"/>
  <c r="J69" i="1"/>
  <c r="J68" i="1"/>
  <c r="J67" i="1"/>
  <c r="J73" i="1" s="1"/>
  <c r="J66" i="1"/>
  <c r="J65" i="1"/>
  <c r="J61" i="1"/>
  <c r="J60" i="1"/>
  <c r="J59" i="1"/>
  <c r="J58" i="1"/>
  <c r="J57" i="1"/>
  <c r="J56" i="1"/>
  <c r="J62" i="1" s="1"/>
  <c r="J24" i="1"/>
  <c r="J23" i="1"/>
  <c r="J22" i="1"/>
  <c r="J21" i="1"/>
  <c r="J20" i="1"/>
  <c r="J25" i="1" s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17" i="1" s="1"/>
  <c r="J2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53" i="1" l="1"/>
</calcChain>
</file>

<file path=xl/sharedStrings.xml><?xml version="1.0" encoding="utf-8"?>
<sst xmlns="http://schemas.openxmlformats.org/spreadsheetml/2006/main" count="109" uniqueCount="73">
  <si>
    <t>ENE</t>
  </si>
  <si>
    <t>FEB</t>
  </si>
  <si>
    <t>MAR</t>
  </si>
  <si>
    <t>ABR</t>
  </si>
  <si>
    <t>MAY</t>
  </si>
  <si>
    <t>JUN</t>
  </si>
  <si>
    <t>JUL</t>
  </si>
  <si>
    <t>AGO</t>
  </si>
  <si>
    <t>TOTAL</t>
  </si>
  <si>
    <t>SUELDO BASE</t>
  </si>
  <si>
    <t>LEY Nº 19.933</t>
  </si>
  <si>
    <t>BRP TÍTULO Y MENCIÓN LEY Nº 20.158</t>
  </si>
  <si>
    <t>LEY 19.464 ASISTENTES (INCLUYE INTERNADOS) (ART. 5</t>
  </si>
  <si>
    <t>ASIGNACIÓN DESEMPEÑO CONDICIONES DIFÍCILES DOCENTE</t>
  </si>
  <si>
    <t>COLACIÓN Y MOVILIZACIÓN</t>
  </si>
  <si>
    <t>BONOS ACORDADOS CON EL SOSTENEDOR</t>
  </si>
  <si>
    <t>ASIGNACIÓN DESEMPEÑO CONDICIONES DIFÍCILES ASISTEN</t>
  </si>
  <si>
    <t>PLANILLA COMPLEMENTARIA LEY N°19.410</t>
  </si>
  <si>
    <t>ASIGNACION DE RECONOCIMIENTO POR DOCENCIA EN EACAP</t>
  </si>
  <si>
    <t>ASIGNACIÓN POR TRAMOS DE DESARROLLO PROFESIONAL</t>
  </si>
  <si>
    <t>PAGO BONO DE ESCOLARIAD Y ADICIONAL</t>
  </si>
  <si>
    <t>PAGO AGUINALDO DE NAVIDAD</t>
  </si>
  <si>
    <t>PAGO BONO ESPECIAL</t>
  </si>
  <si>
    <t>PAGO BONO VACACIONES</t>
  </si>
  <si>
    <t>INDEMNIZACIONES Y/O FERIADO PROPORCIONAL</t>
  </si>
  <si>
    <t>OTROS GASTOS EN PERSONAL</t>
  </si>
  <si>
    <t>SEGURO DE ACCIDENTE DEL TRABAJO</t>
  </si>
  <si>
    <t>SEGURO DE CESANTIA</t>
  </si>
  <si>
    <t>SEGURO DE INVALIDEZ Y SOBREVIVENCIA (SIS)</t>
  </si>
  <si>
    <t>OTROS APORTES PREVISIONALES DEL SOSTENEDOR</t>
  </si>
  <si>
    <t>APORTE REFORMA DE PENSIONES LEY N°21.735 (GASTO)</t>
  </si>
  <si>
    <t>ASESORÍA TÉCNICA Y CAPACITACIÓN DE EMPRESAS (REGIS</t>
  </si>
  <si>
    <t>PERFECCIONAMIENTO DE RRHH, CAPACITACIONES Y ASESOR</t>
  </si>
  <si>
    <t>INSTRUMENTOS MUSICALES Y ARTÍSTICOS</t>
  </si>
  <si>
    <t>MATERIAL Y RECURSOS DIDÁCTICOS</t>
  </si>
  <si>
    <t>EVENTOS EDUCATIVOS Y CULTURALES</t>
  </si>
  <si>
    <t>EQUIPOS INFORMÁTICOS Y LICENCIAS</t>
  </si>
  <si>
    <t>EQUIPOS MULTICOPIADORES</t>
  </si>
  <si>
    <t>OTROS GASTOS EN EQUIPAMIENTO DE APOYO PEDAGÓGICO</t>
  </si>
  <si>
    <t>UNIFORMES Y VESTUARIO</t>
  </si>
  <si>
    <t>OTROS GASTOS BIENESTAR ALUMNOS</t>
  </si>
  <si>
    <t>TALLERES EXTRAPROGRAMATICOS</t>
  </si>
  <si>
    <t>TRANSPORTE ESCOLAR</t>
  </si>
  <si>
    <t>ALIMENTACIÓN</t>
  </si>
  <si>
    <t>INSUMOS COMPUTACIONALES</t>
  </si>
  <si>
    <t>COMBUSTIBLE Y PEAJES</t>
  </si>
  <si>
    <t>MATERIALES Y ÚTILES DE ASEO</t>
  </si>
  <si>
    <t>OTROS GASTOS DE OPERACIÓN</t>
  </si>
  <si>
    <t>GASTOS MUNICIPALES E IMPUESTOS</t>
  </si>
  <si>
    <t>GASTOS BANCARIOS</t>
  </si>
  <si>
    <t>CONTRATACIÓN DE SEGUROS</t>
  </si>
  <si>
    <t>DEVOLUCIONES DE FONDOS PÚBLICOS</t>
  </si>
  <si>
    <t>INTERNET</t>
  </si>
  <si>
    <t>AGUA</t>
  </si>
  <si>
    <t>GAS</t>
  </si>
  <si>
    <t>ELECTRICIDAD</t>
  </si>
  <si>
    <t>TELEFONÍA (MÓVIL Y FIJA)</t>
  </si>
  <si>
    <t>CONTRATACIÓN SERVICIOS DE ASEO Y JARDINERIA</t>
  </si>
  <si>
    <t>CONTRATACIÓN SERVICIOS DE SEGURIDAD</t>
  </si>
  <si>
    <t>GASTOS NOTARIALES</t>
  </si>
  <si>
    <t>CONTRATACIÓN OTROS SERVICIOS EXTERNOS</t>
  </si>
  <si>
    <t>MULTAS E INTERESES FISCALES Y PREVISIONALES</t>
  </si>
  <si>
    <t>ARRIENDO DE LOCAL ESCOLAR</t>
  </si>
  <si>
    <t>MANTENCIÓN Y REPARACIÓN DE INFRAESTRUCTURA</t>
  </si>
  <si>
    <t>INSTALACIONES ELÉCTRICAS, ILUMINACIÓN Y SISTEMAS D</t>
  </si>
  <si>
    <t>INSTALACIONES DE GAS</t>
  </si>
  <si>
    <t>MANTENCIÓN Y REPARACIÓN DE BIENES MUEBLES</t>
  </si>
  <si>
    <t>MANTENCIÓN Y REPARACIÓN DE MOBILIARIO ESCOLAR</t>
  </si>
  <si>
    <t>PARTIDA REMUNERACIONES</t>
  </si>
  <si>
    <t>PARTIDA APORTES DEL EMPLEADOR</t>
  </si>
  <si>
    <t>PARTIDA GASTOS DE OPERACIÓN</t>
  </si>
  <si>
    <t>PARTIDA G.O. SERVICIOS BÁSICOS</t>
  </si>
  <si>
    <t>PARTIDA G.O. MANT INFRAESTRUCTURA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</si>
</sst>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sz val="8"/>
      <name val="Verdana"/>
    </font>
    <font>
      <b/>
      <sz val="12"/>
      <name val="Verdana"/>
      <family val="2"/>
    </font>
    <font>
      <b/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49" zoomScaleNormal="100" workbookViewId="0">
      <selection activeCell="L75" sqref="L75"/>
    </sheetView>
  </sheetViews>
  <sheetFormatPr baseColWidth="10" defaultColWidth="9.19921875" defaultRowHeight="15" x14ac:dyDescent="0.2"/>
  <cols>
    <col min="1" max="1" width="38" bestFit="1" customWidth="1"/>
    <col min="2" max="3" width="7.796875" bestFit="1" customWidth="1"/>
    <col min="4" max="6" width="7.09765625" bestFit="1" customWidth="1"/>
    <col min="7" max="9" width="7.796875" bestFit="1" customWidth="1"/>
    <col min="10" max="10" width="9.8984375" bestFit="1" customWidth="1"/>
  </cols>
  <sheetData>
    <row r="1" spans="1:10" x14ac:dyDescent="0.2">
      <c r="A1" s="5" t="s">
        <v>68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x14ac:dyDescent="0.2">
      <c r="A2" s="6" t="s">
        <v>9</v>
      </c>
      <c r="B2" s="7">
        <v>103043383</v>
      </c>
      <c r="C2" s="7">
        <v>109405198</v>
      </c>
      <c r="D2" s="7">
        <v>97349587</v>
      </c>
      <c r="E2" s="7">
        <v>99148074</v>
      </c>
      <c r="F2" s="7">
        <v>99033243</v>
      </c>
      <c r="G2" s="7">
        <v>103649933</v>
      </c>
      <c r="H2" s="7">
        <v>104676504</v>
      </c>
      <c r="I2" s="7">
        <v>103282747</v>
      </c>
      <c r="J2" s="7">
        <f>SUM(B2:I2)</f>
        <v>819588669</v>
      </c>
    </row>
    <row r="3" spans="1:10" x14ac:dyDescent="0.2">
      <c r="A3" s="6" t="s">
        <v>10</v>
      </c>
      <c r="B3" s="7">
        <v>10284524</v>
      </c>
      <c r="C3" s="7">
        <v>10185975</v>
      </c>
      <c r="D3" s="7">
        <v>9161627</v>
      </c>
      <c r="E3" s="7">
        <v>9329051</v>
      </c>
      <c r="F3" s="7">
        <v>9159504</v>
      </c>
      <c r="G3" s="7">
        <v>9079453</v>
      </c>
      <c r="H3" s="7">
        <v>8374194</v>
      </c>
      <c r="I3" s="7">
        <v>8158290</v>
      </c>
      <c r="J3" s="7">
        <f t="shared" ref="J3:J16" si="0">SUM(B3:I3)</f>
        <v>73732618</v>
      </c>
    </row>
    <row r="4" spans="1:10" x14ac:dyDescent="0.2">
      <c r="A4" s="6" t="s">
        <v>11</v>
      </c>
      <c r="B4" s="7">
        <v>8810206</v>
      </c>
      <c r="C4" s="7">
        <v>9280470</v>
      </c>
      <c r="D4" s="7">
        <v>7418404</v>
      </c>
      <c r="E4" s="7">
        <v>7672786</v>
      </c>
      <c r="F4" s="7">
        <v>8297082</v>
      </c>
      <c r="G4" s="7">
        <v>8668693</v>
      </c>
      <c r="H4" s="7">
        <v>9786927</v>
      </c>
      <c r="I4" s="7">
        <v>9692906</v>
      </c>
      <c r="J4" s="7">
        <f t="shared" si="0"/>
        <v>69627474</v>
      </c>
    </row>
    <row r="5" spans="1:10" x14ac:dyDescent="0.2">
      <c r="A5" s="6" t="s">
        <v>12</v>
      </c>
      <c r="B5" s="7">
        <v>1971970</v>
      </c>
      <c r="C5" s="7">
        <v>1982805</v>
      </c>
      <c r="D5" s="7">
        <v>1865791</v>
      </c>
      <c r="E5" s="7">
        <v>1917798</v>
      </c>
      <c r="F5" s="7">
        <v>1944195</v>
      </c>
      <c r="G5" s="7">
        <v>1046025</v>
      </c>
      <c r="H5" s="7">
        <v>1057112</v>
      </c>
      <c r="I5" s="7">
        <v>1053060</v>
      </c>
      <c r="J5" s="7">
        <f t="shared" si="0"/>
        <v>12838756</v>
      </c>
    </row>
    <row r="6" spans="1:10" x14ac:dyDescent="0.2">
      <c r="A6" s="6" t="s">
        <v>13</v>
      </c>
      <c r="B6" s="7">
        <v>1793594</v>
      </c>
      <c r="C6" s="7">
        <v>1776514</v>
      </c>
      <c r="D6" s="7">
        <v>1289734</v>
      </c>
      <c r="E6" s="7">
        <v>1285464</v>
      </c>
      <c r="F6" s="7">
        <v>1254429</v>
      </c>
      <c r="G6" s="7">
        <v>1300642</v>
      </c>
      <c r="H6" s="7">
        <v>1195600</v>
      </c>
      <c r="I6" s="7">
        <v>1184498</v>
      </c>
      <c r="J6" s="7">
        <f t="shared" si="0"/>
        <v>11080475</v>
      </c>
    </row>
    <row r="7" spans="1:10" x14ac:dyDescent="0.2">
      <c r="A7" s="6" t="s">
        <v>14</v>
      </c>
      <c r="B7" s="7">
        <v>4926505</v>
      </c>
      <c r="C7" s="7">
        <v>4914005</v>
      </c>
      <c r="D7" s="7">
        <v>4429088</v>
      </c>
      <c r="E7" s="7">
        <v>4554505</v>
      </c>
      <c r="F7" s="7">
        <v>4549955</v>
      </c>
      <c r="G7" s="7">
        <v>4733405</v>
      </c>
      <c r="H7" s="7">
        <v>4761505</v>
      </c>
      <c r="I7" s="7">
        <v>4706205</v>
      </c>
      <c r="J7" s="7">
        <f t="shared" si="0"/>
        <v>37575173</v>
      </c>
    </row>
    <row r="8" spans="1:10" x14ac:dyDescent="0.2">
      <c r="A8" s="6" t="s">
        <v>15</v>
      </c>
      <c r="B8" s="7">
        <v>24508250</v>
      </c>
      <c r="C8" s="7">
        <v>23196728</v>
      </c>
      <c r="D8" s="7">
        <v>23609648</v>
      </c>
      <c r="E8" s="7">
        <v>24334261</v>
      </c>
      <c r="F8" s="7">
        <v>23424177</v>
      </c>
      <c r="G8" s="7">
        <v>24528912</v>
      </c>
      <c r="H8" s="7">
        <v>23731953</v>
      </c>
      <c r="I8" s="7">
        <v>23400201</v>
      </c>
      <c r="J8" s="7">
        <f t="shared" si="0"/>
        <v>190734130</v>
      </c>
    </row>
    <row r="9" spans="1:10" x14ac:dyDescent="0.2">
      <c r="A9" s="6" t="s">
        <v>16</v>
      </c>
      <c r="B9" s="7">
        <v>309582</v>
      </c>
      <c r="C9" s="7">
        <v>311283</v>
      </c>
      <c r="D9" s="7">
        <v>290020</v>
      </c>
      <c r="E9" s="7">
        <v>300737</v>
      </c>
      <c r="F9" s="7">
        <v>309923</v>
      </c>
      <c r="G9" s="7">
        <v>308902</v>
      </c>
      <c r="H9" s="7">
        <v>309413</v>
      </c>
      <c r="I9" s="7">
        <v>302608</v>
      </c>
      <c r="J9" s="7">
        <f t="shared" si="0"/>
        <v>2442468</v>
      </c>
    </row>
    <row r="10" spans="1:10" x14ac:dyDescent="0.2">
      <c r="A10" s="6" t="s">
        <v>17</v>
      </c>
      <c r="B10" s="7">
        <v>3999629</v>
      </c>
      <c r="C10" s="7">
        <v>3961305</v>
      </c>
      <c r="D10" s="7">
        <v>3561474</v>
      </c>
      <c r="E10" s="7">
        <v>3626582</v>
      </c>
      <c r="F10" s="7">
        <v>3612381</v>
      </c>
      <c r="G10" s="7">
        <v>3550334</v>
      </c>
      <c r="H10" s="7">
        <v>13536</v>
      </c>
      <c r="I10" s="7">
        <v>3190134</v>
      </c>
      <c r="J10" s="7">
        <f t="shared" si="0"/>
        <v>25515375</v>
      </c>
    </row>
    <row r="11" spans="1:10" x14ac:dyDescent="0.2">
      <c r="A11" s="6" t="s">
        <v>18</v>
      </c>
      <c r="B11" s="8"/>
      <c r="C11" s="8"/>
      <c r="D11" s="8"/>
      <c r="E11" s="8"/>
      <c r="F11" s="8"/>
      <c r="G11" s="8"/>
      <c r="H11" s="7">
        <v>887139</v>
      </c>
      <c r="I11" s="7">
        <v>887139</v>
      </c>
      <c r="J11" s="7">
        <f t="shared" si="0"/>
        <v>1774278</v>
      </c>
    </row>
    <row r="12" spans="1:10" x14ac:dyDescent="0.2">
      <c r="A12" s="6" t="s">
        <v>19</v>
      </c>
      <c r="B12" s="8"/>
      <c r="C12" s="8"/>
      <c r="D12" s="8"/>
      <c r="E12" s="8"/>
      <c r="F12" s="8"/>
      <c r="G12" s="8"/>
      <c r="H12" s="7">
        <v>2880179</v>
      </c>
      <c r="I12" s="7">
        <v>2880179</v>
      </c>
      <c r="J12" s="7">
        <f t="shared" si="0"/>
        <v>5760358</v>
      </c>
    </row>
    <row r="13" spans="1:10" x14ac:dyDescent="0.2">
      <c r="A13" s="6" t="s">
        <v>20</v>
      </c>
      <c r="B13" s="8"/>
      <c r="C13" s="8"/>
      <c r="D13" s="8"/>
      <c r="E13" s="7">
        <v>4201564</v>
      </c>
      <c r="F13" s="8"/>
      <c r="G13" s="7">
        <v>2571924</v>
      </c>
      <c r="H13" s="8"/>
      <c r="I13" s="8"/>
      <c r="J13" s="7">
        <f t="shared" si="0"/>
        <v>6773488</v>
      </c>
    </row>
    <row r="14" spans="1:10" x14ac:dyDescent="0.2">
      <c r="A14" s="6" t="s">
        <v>21</v>
      </c>
      <c r="B14" s="7">
        <v>7764211</v>
      </c>
      <c r="C14" s="8"/>
      <c r="D14" s="8"/>
      <c r="E14" s="7">
        <v>216599</v>
      </c>
      <c r="F14" s="8"/>
      <c r="G14" s="8"/>
      <c r="H14" s="8"/>
      <c r="I14" s="8"/>
      <c r="J14" s="7">
        <f t="shared" si="0"/>
        <v>7980810</v>
      </c>
    </row>
    <row r="15" spans="1:10" x14ac:dyDescent="0.2">
      <c r="A15" s="6" t="s">
        <v>22</v>
      </c>
      <c r="B15" s="8"/>
      <c r="C15" s="8"/>
      <c r="D15" s="8"/>
      <c r="E15" s="7">
        <v>12525000</v>
      </c>
      <c r="F15" s="8"/>
      <c r="G15" s="8"/>
      <c r="H15" s="8"/>
      <c r="I15" s="8"/>
      <c r="J15" s="7">
        <f t="shared" si="0"/>
        <v>12525000</v>
      </c>
    </row>
    <row r="16" spans="1:10" x14ac:dyDescent="0.2">
      <c r="A16" s="6" t="s">
        <v>23</v>
      </c>
      <c r="B16" s="8"/>
      <c r="C16" s="8"/>
      <c r="D16" s="7">
        <v>10444621</v>
      </c>
      <c r="E16" s="8"/>
      <c r="F16" s="8"/>
      <c r="G16" s="8"/>
      <c r="H16" s="8"/>
      <c r="I16" s="8"/>
      <c r="J16" s="7">
        <f t="shared" si="0"/>
        <v>10444621</v>
      </c>
    </row>
    <row r="17" spans="1:10" x14ac:dyDescent="0.2">
      <c r="A17" s="1"/>
      <c r="B17" s="3"/>
      <c r="C17" s="3"/>
      <c r="D17" s="2"/>
      <c r="E17" s="3"/>
      <c r="F17" s="3"/>
      <c r="G17" s="3"/>
      <c r="H17" s="3"/>
      <c r="I17" s="3"/>
      <c r="J17" s="9">
        <f>SUM(J2:J16)</f>
        <v>1288393693</v>
      </c>
    </row>
    <row r="18" spans="1:10" x14ac:dyDescent="0.2">
      <c r="A18" s="1"/>
      <c r="B18" s="3"/>
      <c r="C18" s="3"/>
      <c r="D18" s="2"/>
      <c r="E18" s="3"/>
      <c r="F18" s="3"/>
      <c r="G18" s="3"/>
      <c r="H18" s="3"/>
      <c r="I18" s="3"/>
      <c r="J18" s="10"/>
    </row>
    <row r="19" spans="1:10" x14ac:dyDescent="0.2">
      <c r="A19" s="4" t="s">
        <v>69</v>
      </c>
      <c r="B19" s="4" t="s">
        <v>0</v>
      </c>
      <c r="C19" s="4" t="s">
        <v>1</v>
      </c>
      <c r="D19" s="4" t="s">
        <v>2</v>
      </c>
      <c r="E19" s="4" t="s">
        <v>3</v>
      </c>
      <c r="F19" s="4" t="s">
        <v>4</v>
      </c>
      <c r="G19" s="4" t="s">
        <v>5</v>
      </c>
      <c r="H19" s="4" t="s">
        <v>6</v>
      </c>
      <c r="I19" s="4" t="s">
        <v>7</v>
      </c>
      <c r="J19" s="4" t="s">
        <v>8</v>
      </c>
    </row>
    <row r="20" spans="1:10" x14ac:dyDescent="0.2">
      <c r="A20" s="6" t="s">
        <v>26</v>
      </c>
      <c r="B20" s="7">
        <v>1421723</v>
      </c>
      <c r="C20" s="7">
        <v>1467762</v>
      </c>
      <c r="D20" s="7">
        <v>1317867</v>
      </c>
      <c r="E20" s="7">
        <v>1351009</v>
      </c>
      <c r="F20" s="7">
        <v>1344337</v>
      </c>
      <c r="G20" s="7">
        <v>1392692</v>
      </c>
      <c r="H20" s="7">
        <v>1401083</v>
      </c>
      <c r="I20" s="7">
        <v>1412791</v>
      </c>
      <c r="J20" s="7">
        <f>SUM(B20:I20)</f>
        <v>11109264</v>
      </c>
    </row>
    <row r="21" spans="1:10" x14ac:dyDescent="0.2">
      <c r="A21" s="6" t="s">
        <v>27</v>
      </c>
      <c r="B21" s="7">
        <v>3412850</v>
      </c>
      <c r="C21" s="7">
        <v>3540002</v>
      </c>
      <c r="D21" s="7">
        <v>3197576</v>
      </c>
      <c r="E21" s="7">
        <v>3083069</v>
      </c>
      <c r="F21" s="7">
        <v>3069948</v>
      </c>
      <c r="G21" s="7">
        <v>3092014</v>
      </c>
      <c r="H21" s="7">
        <v>3078845</v>
      </c>
      <c r="I21" s="7">
        <v>3167060</v>
      </c>
      <c r="J21" s="7">
        <f t="shared" ref="J21:J24" si="1">SUM(B21:I21)</f>
        <v>25641364</v>
      </c>
    </row>
    <row r="22" spans="1:10" x14ac:dyDescent="0.2">
      <c r="A22" s="6" t="s">
        <v>28</v>
      </c>
      <c r="B22" s="7">
        <v>2163270</v>
      </c>
      <c r="C22" s="7">
        <v>2240987</v>
      </c>
      <c r="D22" s="7">
        <v>2030525</v>
      </c>
      <c r="E22" s="7">
        <v>2153425</v>
      </c>
      <c r="F22" s="7">
        <v>2191498</v>
      </c>
      <c r="G22" s="7">
        <v>2212031</v>
      </c>
      <c r="H22" s="7">
        <v>2747952</v>
      </c>
      <c r="I22" s="7">
        <v>2509731</v>
      </c>
      <c r="J22" s="7">
        <f t="shared" si="1"/>
        <v>18249419</v>
      </c>
    </row>
    <row r="23" spans="1:10" x14ac:dyDescent="0.2">
      <c r="A23" s="6" t="s">
        <v>29</v>
      </c>
      <c r="B23" s="8"/>
      <c r="C23" s="8"/>
      <c r="D23" s="8"/>
      <c r="E23" s="8"/>
      <c r="F23" s="8"/>
      <c r="G23" s="8"/>
      <c r="H23" s="8"/>
      <c r="I23" s="7">
        <v>1200000</v>
      </c>
      <c r="J23" s="7">
        <f t="shared" si="1"/>
        <v>1200000</v>
      </c>
    </row>
    <row r="24" spans="1:10" x14ac:dyDescent="0.2">
      <c r="A24" s="6" t="s">
        <v>30</v>
      </c>
      <c r="B24" s="7">
        <v>1403089</v>
      </c>
      <c r="C24" s="7">
        <v>1453315</v>
      </c>
      <c r="D24" s="7">
        <v>1313664</v>
      </c>
      <c r="E24" s="7">
        <v>1325535</v>
      </c>
      <c r="F24" s="7">
        <v>1345752</v>
      </c>
      <c r="G24" s="7">
        <v>1362404</v>
      </c>
      <c r="H24" s="7">
        <v>1370013</v>
      </c>
      <c r="I24" s="7">
        <v>1148515</v>
      </c>
      <c r="J24" s="7">
        <f t="shared" si="1"/>
        <v>10722287</v>
      </c>
    </row>
    <row r="25" spans="1:10" x14ac:dyDescent="0.2">
      <c r="A25" s="1"/>
      <c r="B25" s="2"/>
      <c r="C25" s="2"/>
      <c r="D25" s="2"/>
      <c r="E25" s="2"/>
      <c r="F25" s="2"/>
      <c r="G25" s="2"/>
      <c r="H25" s="2"/>
      <c r="I25" s="2"/>
      <c r="J25" s="11">
        <f>SUM(J20:J24)</f>
        <v>66922334</v>
      </c>
    </row>
    <row r="26" spans="1:10" x14ac:dyDescent="0.2">
      <c r="A26" s="1"/>
      <c r="B26" s="2"/>
      <c r="C26" s="2"/>
      <c r="D26" s="2"/>
      <c r="E26" s="2"/>
      <c r="F26" s="2"/>
      <c r="G26" s="2"/>
      <c r="H26" s="2"/>
      <c r="I26" s="2"/>
      <c r="J26" s="10"/>
    </row>
    <row r="27" spans="1:10" x14ac:dyDescent="0.2">
      <c r="A27" s="4" t="s">
        <v>70</v>
      </c>
      <c r="B27" s="4" t="s">
        <v>0</v>
      </c>
      <c r="C27" s="4" t="s">
        <v>1</v>
      </c>
      <c r="D27" s="4" t="s">
        <v>2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8</v>
      </c>
    </row>
    <row r="28" spans="1:10" x14ac:dyDescent="0.2">
      <c r="A28" s="6" t="s">
        <v>24</v>
      </c>
      <c r="B28" s="8"/>
      <c r="C28" s="7">
        <v>1900000</v>
      </c>
      <c r="D28" s="7">
        <v>63464899</v>
      </c>
      <c r="E28" s="7">
        <v>8860006</v>
      </c>
      <c r="F28" s="7">
        <v>3057895</v>
      </c>
      <c r="G28" s="7">
        <v>2811714</v>
      </c>
      <c r="H28" s="7">
        <v>2766714</v>
      </c>
      <c r="I28" s="7">
        <v>2811714</v>
      </c>
      <c r="J28" s="7">
        <f>SUM(B28:I28)</f>
        <v>85672942</v>
      </c>
    </row>
    <row r="29" spans="1:10" x14ac:dyDescent="0.2">
      <c r="A29" s="6" t="s">
        <v>25</v>
      </c>
      <c r="B29" s="8"/>
      <c r="C29" s="8"/>
      <c r="D29" s="8"/>
      <c r="E29" s="8"/>
      <c r="F29" s="7">
        <v>1570395</v>
      </c>
      <c r="G29" s="8"/>
      <c r="H29" s="8"/>
      <c r="I29" s="8"/>
      <c r="J29" s="7">
        <f t="shared" ref="J29:J52" si="2">SUM(B29:I29)</f>
        <v>1570395</v>
      </c>
    </row>
    <row r="30" spans="1:10" x14ac:dyDescent="0.2">
      <c r="A30" s="6" t="s">
        <v>31</v>
      </c>
      <c r="B30" s="8"/>
      <c r="C30" s="8"/>
      <c r="D30" s="8"/>
      <c r="E30" s="8"/>
      <c r="F30" s="8"/>
      <c r="G30" s="8"/>
      <c r="H30" s="8"/>
      <c r="I30" s="7">
        <v>1784000</v>
      </c>
      <c r="J30" s="7">
        <f t="shared" si="2"/>
        <v>1784000</v>
      </c>
    </row>
    <row r="31" spans="1:10" x14ac:dyDescent="0.2">
      <c r="A31" s="6" t="s">
        <v>32</v>
      </c>
      <c r="B31" s="8"/>
      <c r="C31" s="8"/>
      <c r="D31" s="7">
        <v>960000</v>
      </c>
      <c r="E31" s="8"/>
      <c r="F31" s="8"/>
      <c r="G31" s="8"/>
      <c r="H31" s="7">
        <v>1887906</v>
      </c>
      <c r="I31" s="7">
        <v>2887914</v>
      </c>
      <c r="J31" s="7">
        <f t="shared" si="2"/>
        <v>5735820</v>
      </c>
    </row>
    <row r="32" spans="1:10" x14ac:dyDescent="0.2">
      <c r="A32" s="6" t="s">
        <v>33</v>
      </c>
      <c r="B32" s="8"/>
      <c r="C32" s="8"/>
      <c r="D32" s="8"/>
      <c r="E32" s="7">
        <v>410610</v>
      </c>
      <c r="F32" s="8"/>
      <c r="G32" s="8"/>
      <c r="H32" s="8"/>
      <c r="I32" s="8"/>
      <c r="J32" s="7">
        <f t="shared" si="2"/>
        <v>410610</v>
      </c>
    </row>
    <row r="33" spans="1:10" x14ac:dyDescent="0.2">
      <c r="A33" s="6" t="s">
        <v>34</v>
      </c>
      <c r="B33" s="7">
        <v>314927</v>
      </c>
      <c r="C33" s="8"/>
      <c r="D33" s="7">
        <v>1832871</v>
      </c>
      <c r="E33" s="7">
        <v>9160163</v>
      </c>
      <c r="F33" s="8"/>
      <c r="G33" s="7">
        <v>2831117</v>
      </c>
      <c r="H33" s="7">
        <v>793283</v>
      </c>
      <c r="I33" s="7">
        <v>2258241</v>
      </c>
      <c r="J33" s="7">
        <f t="shared" si="2"/>
        <v>17190602</v>
      </c>
    </row>
    <row r="34" spans="1:10" x14ac:dyDescent="0.2">
      <c r="A34" s="6" t="s">
        <v>35</v>
      </c>
      <c r="B34" s="8"/>
      <c r="C34" s="8"/>
      <c r="D34" s="8"/>
      <c r="E34" s="8"/>
      <c r="F34" s="7">
        <v>1113782</v>
      </c>
      <c r="G34" s="8"/>
      <c r="H34" s="8"/>
      <c r="I34" s="8"/>
      <c r="J34" s="7">
        <f t="shared" si="2"/>
        <v>1113782</v>
      </c>
    </row>
    <row r="35" spans="1:10" x14ac:dyDescent="0.2">
      <c r="A35" s="6" t="s">
        <v>36</v>
      </c>
      <c r="B35" s="8"/>
      <c r="C35" s="8"/>
      <c r="D35" s="8"/>
      <c r="E35" s="7">
        <v>654370</v>
      </c>
      <c r="F35" s="8"/>
      <c r="G35" s="8"/>
      <c r="H35" s="8"/>
      <c r="I35" s="7">
        <v>629380</v>
      </c>
      <c r="J35" s="7">
        <f t="shared" si="2"/>
        <v>1283750</v>
      </c>
    </row>
    <row r="36" spans="1:10" x14ac:dyDescent="0.2">
      <c r="A36" s="6" t="s">
        <v>37</v>
      </c>
      <c r="B36" s="7">
        <v>266042</v>
      </c>
      <c r="C36" s="8"/>
      <c r="D36" s="8"/>
      <c r="E36" s="7">
        <v>1503458</v>
      </c>
      <c r="F36" s="8"/>
      <c r="G36" s="7">
        <v>1483341</v>
      </c>
      <c r="H36" s="7">
        <v>796014</v>
      </c>
      <c r="I36" s="7">
        <v>1033686</v>
      </c>
      <c r="J36" s="7">
        <f t="shared" si="2"/>
        <v>5082541</v>
      </c>
    </row>
    <row r="37" spans="1:10" x14ac:dyDescent="0.2">
      <c r="A37" s="6" t="s">
        <v>38</v>
      </c>
      <c r="B37" s="8"/>
      <c r="C37" s="8"/>
      <c r="D37" s="8"/>
      <c r="E37" s="8"/>
      <c r="F37" s="8"/>
      <c r="G37" s="8"/>
      <c r="H37" s="8"/>
      <c r="I37" s="7">
        <v>481046</v>
      </c>
      <c r="J37" s="7">
        <f t="shared" si="2"/>
        <v>481046</v>
      </c>
    </row>
    <row r="38" spans="1:10" x14ac:dyDescent="0.2">
      <c r="A38" s="6" t="s">
        <v>39</v>
      </c>
      <c r="B38" s="8"/>
      <c r="C38" s="8"/>
      <c r="D38" s="8"/>
      <c r="E38" s="8"/>
      <c r="F38" s="8"/>
      <c r="G38" s="7">
        <v>3583685</v>
      </c>
      <c r="H38" s="8"/>
      <c r="I38" s="8"/>
      <c r="J38" s="7">
        <f t="shared" si="2"/>
        <v>3583685</v>
      </c>
    </row>
    <row r="39" spans="1:10" x14ac:dyDescent="0.2">
      <c r="A39" s="6" t="s">
        <v>40</v>
      </c>
      <c r="B39" s="8"/>
      <c r="C39" s="8"/>
      <c r="D39" s="8"/>
      <c r="E39" s="8"/>
      <c r="F39" s="8"/>
      <c r="G39" s="7">
        <v>300000</v>
      </c>
      <c r="H39" s="8"/>
      <c r="I39" s="8"/>
      <c r="J39" s="7">
        <f t="shared" si="2"/>
        <v>300000</v>
      </c>
    </row>
    <row r="40" spans="1:10" x14ac:dyDescent="0.2">
      <c r="A40" s="6" t="s">
        <v>41</v>
      </c>
      <c r="B40" s="7">
        <v>685439</v>
      </c>
      <c r="C40" s="8"/>
      <c r="D40" s="8"/>
      <c r="E40" s="7">
        <v>1379381</v>
      </c>
      <c r="F40" s="7">
        <v>844779</v>
      </c>
      <c r="G40" s="7">
        <v>4342124</v>
      </c>
      <c r="H40" s="7">
        <v>747500</v>
      </c>
      <c r="I40" s="7">
        <v>501592</v>
      </c>
      <c r="J40" s="7">
        <f t="shared" si="2"/>
        <v>8500815</v>
      </c>
    </row>
    <row r="41" spans="1:10" x14ac:dyDescent="0.2">
      <c r="A41" s="6" t="s">
        <v>42</v>
      </c>
      <c r="B41" s="8"/>
      <c r="C41" s="8"/>
      <c r="D41" s="8"/>
      <c r="E41" s="7">
        <v>290000</v>
      </c>
      <c r="F41" s="8"/>
      <c r="G41" s="7">
        <v>4270000</v>
      </c>
      <c r="H41" s="8"/>
      <c r="I41" s="7">
        <v>1750000</v>
      </c>
      <c r="J41" s="7">
        <f t="shared" si="2"/>
        <v>6310000</v>
      </c>
    </row>
    <row r="42" spans="1:10" x14ac:dyDescent="0.2">
      <c r="A42" s="6" t="s">
        <v>43</v>
      </c>
      <c r="B42" s="7">
        <v>2637690</v>
      </c>
      <c r="C42" s="8"/>
      <c r="D42" s="7">
        <v>2209256</v>
      </c>
      <c r="E42" s="7">
        <v>1677254</v>
      </c>
      <c r="F42" s="7">
        <v>2350968</v>
      </c>
      <c r="G42" s="7">
        <v>3234348</v>
      </c>
      <c r="H42" s="7">
        <v>227069</v>
      </c>
      <c r="I42" s="7">
        <v>344649</v>
      </c>
      <c r="J42" s="7">
        <f t="shared" si="2"/>
        <v>12681234</v>
      </c>
    </row>
    <row r="43" spans="1:10" x14ac:dyDescent="0.2">
      <c r="A43" s="6" t="s">
        <v>44</v>
      </c>
      <c r="B43" s="8"/>
      <c r="C43" s="8"/>
      <c r="D43" s="7">
        <v>856110</v>
      </c>
      <c r="E43" s="8"/>
      <c r="F43" s="8"/>
      <c r="G43" s="8"/>
      <c r="H43" s="8"/>
      <c r="I43" s="7">
        <v>742560</v>
      </c>
      <c r="J43" s="7">
        <f t="shared" si="2"/>
        <v>1598670</v>
      </c>
    </row>
    <row r="44" spans="1:10" x14ac:dyDescent="0.2">
      <c r="A44" s="6" t="s">
        <v>45</v>
      </c>
      <c r="B44" s="7">
        <v>76009</v>
      </c>
      <c r="C44" s="8"/>
      <c r="D44" s="7">
        <v>448449</v>
      </c>
      <c r="E44" s="7">
        <v>124123</v>
      </c>
      <c r="F44" s="7">
        <v>227525</v>
      </c>
      <c r="G44" s="7">
        <v>230981</v>
      </c>
      <c r="H44" s="7">
        <v>85844</v>
      </c>
      <c r="I44" s="7">
        <v>146593</v>
      </c>
      <c r="J44" s="7">
        <f t="shared" si="2"/>
        <v>1339524</v>
      </c>
    </row>
    <row r="45" spans="1:10" s="18" customFormat="1" x14ac:dyDescent="0.2">
      <c r="A45" s="16" t="s">
        <v>47</v>
      </c>
      <c r="B45" s="17">
        <v>2699977</v>
      </c>
      <c r="C45" s="17">
        <v>7294237</v>
      </c>
      <c r="D45" s="17">
        <v>7379719</v>
      </c>
      <c r="E45" s="17">
        <v>7325641</v>
      </c>
      <c r="F45" s="17">
        <v>2585984</v>
      </c>
      <c r="G45" s="17">
        <v>13637672</v>
      </c>
      <c r="H45" s="17">
        <v>14856233</v>
      </c>
      <c r="I45" s="17">
        <v>11181333</v>
      </c>
      <c r="J45" s="17">
        <f t="shared" si="2"/>
        <v>66960796</v>
      </c>
    </row>
    <row r="46" spans="1:10" x14ac:dyDescent="0.2">
      <c r="A46" s="6" t="s">
        <v>48</v>
      </c>
      <c r="B46" s="8"/>
      <c r="C46" s="8"/>
      <c r="D46" s="7">
        <v>61965</v>
      </c>
      <c r="E46" s="8"/>
      <c r="F46" s="8"/>
      <c r="G46" s="8"/>
      <c r="H46" s="8"/>
      <c r="I46" s="7">
        <v>63089</v>
      </c>
      <c r="J46" s="7">
        <f t="shared" si="2"/>
        <v>125054</v>
      </c>
    </row>
    <row r="47" spans="1:10" x14ac:dyDescent="0.2">
      <c r="A47" s="6" t="s">
        <v>49</v>
      </c>
      <c r="B47" s="7">
        <v>620592</v>
      </c>
      <c r="C47" s="7">
        <v>622147</v>
      </c>
      <c r="D47" s="7">
        <v>619060</v>
      </c>
      <c r="E47" s="7">
        <v>686711</v>
      </c>
      <c r="F47" s="7">
        <v>695807</v>
      </c>
      <c r="G47" s="7">
        <v>632757</v>
      </c>
      <c r="H47" s="7">
        <v>635571</v>
      </c>
      <c r="I47" s="7">
        <v>641638</v>
      </c>
      <c r="J47" s="7">
        <f t="shared" si="2"/>
        <v>5154283</v>
      </c>
    </row>
    <row r="48" spans="1:10" x14ac:dyDescent="0.2">
      <c r="A48" s="6" t="s">
        <v>50</v>
      </c>
      <c r="B48" s="7">
        <v>1568897</v>
      </c>
      <c r="C48" s="7">
        <v>7466</v>
      </c>
      <c r="D48" s="7">
        <v>14973</v>
      </c>
      <c r="E48" s="7">
        <v>7538</v>
      </c>
      <c r="F48" s="7">
        <v>7625</v>
      </c>
      <c r="G48" s="7">
        <v>7674</v>
      </c>
      <c r="H48" s="8"/>
      <c r="I48" s="8"/>
      <c r="J48" s="7">
        <f t="shared" si="2"/>
        <v>1614173</v>
      </c>
    </row>
    <row r="49" spans="1:10" x14ac:dyDescent="0.2">
      <c r="A49" s="6" t="s">
        <v>51</v>
      </c>
      <c r="B49" s="8"/>
      <c r="C49" s="8"/>
      <c r="D49" s="8"/>
      <c r="E49" s="8"/>
      <c r="F49" s="7">
        <v>2766415</v>
      </c>
      <c r="G49" s="8"/>
      <c r="H49" s="8"/>
      <c r="I49" s="8"/>
      <c r="J49" s="7">
        <f t="shared" si="2"/>
        <v>2766415</v>
      </c>
    </row>
    <row r="50" spans="1:10" x14ac:dyDescent="0.2">
      <c r="A50" s="6" t="s">
        <v>59</v>
      </c>
      <c r="B50" s="8"/>
      <c r="C50" s="8"/>
      <c r="D50" s="7">
        <v>10000</v>
      </c>
      <c r="E50" s="7">
        <v>45000</v>
      </c>
      <c r="F50" s="7">
        <v>84000</v>
      </c>
      <c r="G50" s="7">
        <v>18000</v>
      </c>
      <c r="H50" s="7">
        <v>15000</v>
      </c>
      <c r="I50" s="8"/>
      <c r="J50" s="7">
        <f t="shared" si="2"/>
        <v>172000</v>
      </c>
    </row>
    <row r="51" spans="1:10" x14ac:dyDescent="0.2">
      <c r="A51" s="6" t="s">
        <v>60</v>
      </c>
      <c r="B51" s="7">
        <v>5151705</v>
      </c>
      <c r="C51" s="7">
        <v>1643288</v>
      </c>
      <c r="D51" s="7">
        <v>5259783</v>
      </c>
      <c r="E51" s="7">
        <v>2596771</v>
      </c>
      <c r="F51" s="7">
        <v>4610050</v>
      </c>
      <c r="G51" s="7">
        <v>3370096</v>
      </c>
      <c r="H51" s="7">
        <v>1457839</v>
      </c>
      <c r="I51" s="7">
        <v>2417004</v>
      </c>
      <c r="J51" s="7">
        <f t="shared" si="2"/>
        <v>26506536</v>
      </c>
    </row>
    <row r="52" spans="1:10" x14ac:dyDescent="0.2">
      <c r="A52" s="6" t="s">
        <v>61</v>
      </c>
      <c r="B52" s="8"/>
      <c r="C52" s="8"/>
      <c r="D52" s="8"/>
      <c r="E52" s="7">
        <v>145356</v>
      </c>
      <c r="F52" s="8"/>
      <c r="G52" s="8"/>
      <c r="H52" s="7">
        <v>127248</v>
      </c>
      <c r="I52" s="8"/>
      <c r="J52" s="7">
        <f t="shared" si="2"/>
        <v>272604</v>
      </c>
    </row>
    <row r="53" spans="1:10" x14ac:dyDescent="0.2">
      <c r="A53" s="1"/>
      <c r="B53" s="3"/>
      <c r="C53" s="3"/>
      <c r="D53" s="3"/>
      <c r="E53" s="3"/>
      <c r="F53" s="2"/>
      <c r="G53" s="3"/>
      <c r="H53" s="3"/>
      <c r="I53" s="3"/>
      <c r="J53" s="9">
        <f>SUM(J28:J52)</f>
        <v>258211277</v>
      </c>
    </row>
    <row r="54" spans="1:10" x14ac:dyDescent="0.2">
      <c r="A54" s="1"/>
      <c r="B54" s="3"/>
      <c r="C54" s="3"/>
      <c r="D54" s="3"/>
      <c r="E54" s="3"/>
      <c r="F54" s="2"/>
      <c r="G54" s="3"/>
      <c r="H54" s="3"/>
      <c r="I54" s="3"/>
      <c r="J54" s="2"/>
    </row>
    <row r="55" spans="1:10" x14ac:dyDescent="0.2">
      <c r="A55" s="15" t="s">
        <v>71</v>
      </c>
      <c r="B55" s="15" t="s">
        <v>0</v>
      </c>
      <c r="C55" s="15" t="s">
        <v>1</v>
      </c>
      <c r="D55" s="15" t="s">
        <v>2</v>
      </c>
      <c r="E55" s="15" t="s">
        <v>3</v>
      </c>
      <c r="F55" s="15" t="s">
        <v>4</v>
      </c>
      <c r="G55" s="15" t="s">
        <v>5</v>
      </c>
      <c r="H55" s="15" t="s">
        <v>6</v>
      </c>
      <c r="I55" s="15" t="s">
        <v>7</v>
      </c>
      <c r="J55" s="15" t="s">
        <v>8</v>
      </c>
    </row>
    <row r="56" spans="1:10" x14ac:dyDescent="0.2">
      <c r="A56" s="6" t="s">
        <v>53</v>
      </c>
      <c r="B56" s="7">
        <v>1805560</v>
      </c>
      <c r="C56" s="7">
        <v>1564830</v>
      </c>
      <c r="D56" s="7">
        <v>1383340</v>
      </c>
      <c r="E56" s="7">
        <v>2223430</v>
      </c>
      <c r="F56" s="7">
        <v>1355170</v>
      </c>
      <c r="G56" s="7">
        <v>1594440</v>
      </c>
      <c r="H56" s="7">
        <v>1325870</v>
      </c>
      <c r="I56" s="7">
        <v>1356600</v>
      </c>
      <c r="J56" s="7">
        <f>SUM(B56:I56)</f>
        <v>12609240</v>
      </c>
    </row>
    <row r="57" spans="1:10" x14ac:dyDescent="0.2">
      <c r="A57" s="6" t="s">
        <v>54</v>
      </c>
      <c r="B57" s="8"/>
      <c r="C57" s="8"/>
      <c r="D57" s="8"/>
      <c r="E57" s="8"/>
      <c r="F57" s="8"/>
      <c r="G57" s="7">
        <v>90000</v>
      </c>
      <c r="H57" s="7">
        <v>228002</v>
      </c>
      <c r="I57" s="8"/>
      <c r="J57" s="7">
        <f t="shared" ref="J57:J61" si="3">SUM(B57:I57)</f>
        <v>318002</v>
      </c>
    </row>
    <row r="58" spans="1:10" x14ac:dyDescent="0.2">
      <c r="A58" s="6" t="s">
        <v>55</v>
      </c>
      <c r="B58" s="8"/>
      <c r="C58" s="7">
        <v>6061003</v>
      </c>
      <c r="D58" s="8"/>
      <c r="E58" s="7">
        <v>3954057</v>
      </c>
      <c r="F58" s="8"/>
      <c r="G58" s="7">
        <v>6270170</v>
      </c>
      <c r="H58" s="7">
        <v>2947087</v>
      </c>
      <c r="I58" s="7">
        <v>403994</v>
      </c>
      <c r="J58" s="7">
        <f t="shared" si="3"/>
        <v>19636311</v>
      </c>
    </row>
    <row r="59" spans="1:10" x14ac:dyDescent="0.2">
      <c r="A59" s="6" t="s">
        <v>56</v>
      </c>
      <c r="B59" s="8"/>
      <c r="C59" s="7">
        <v>975768</v>
      </c>
      <c r="D59" s="8"/>
      <c r="E59" s="7">
        <v>1894062</v>
      </c>
      <c r="F59" s="8"/>
      <c r="G59" s="7">
        <v>1076306</v>
      </c>
      <c r="H59" s="7">
        <v>472684</v>
      </c>
      <c r="I59" s="7">
        <v>299794</v>
      </c>
      <c r="J59" s="7">
        <f t="shared" si="3"/>
        <v>4718614</v>
      </c>
    </row>
    <row r="60" spans="1:10" x14ac:dyDescent="0.2">
      <c r="A60" s="6" t="s">
        <v>52</v>
      </c>
      <c r="B60" s="8"/>
      <c r="C60" s="8"/>
      <c r="D60" s="8"/>
      <c r="E60" s="7">
        <v>223783</v>
      </c>
      <c r="F60" s="8"/>
      <c r="G60" s="7">
        <v>477517</v>
      </c>
      <c r="H60" s="7">
        <v>229294</v>
      </c>
      <c r="I60" s="7">
        <v>229417</v>
      </c>
      <c r="J60" s="7">
        <f t="shared" si="3"/>
        <v>1160011</v>
      </c>
    </row>
    <row r="61" spans="1:10" x14ac:dyDescent="0.2">
      <c r="A61" s="6" t="s">
        <v>62</v>
      </c>
      <c r="B61" s="7">
        <v>17171742</v>
      </c>
      <c r="C61" s="8"/>
      <c r="D61" s="7">
        <v>51772803</v>
      </c>
      <c r="E61" s="7">
        <v>17429319</v>
      </c>
      <c r="F61" s="7">
        <v>17429319</v>
      </c>
      <c r="G61" s="7">
        <v>17429319</v>
      </c>
      <c r="H61" s="7">
        <v>515154</v>
      </c>
      <c r="I61" s="7">
        <v>35834686</v>
      </c>
      <c r="J61" s="7">
        <f t="shared" si="3"/>
        <v>157582342</v>
      </c>
    </row>
    <row r="62" spans="1:10" x14ac:dyDescent="0.2">
      <c r="A62" s="1"/>
      <c r="B62" s="3"/>
      <c r="C62" s="2"/>
      <c r="D62" s="3"/>
      <c r="E62" s="2"/>
      <c r="F62" s="3"/>
      <c r="G62" s="2"/>
      <c r="H62" s="2"/>
      <c r="I62" s="2"/>
      <c r="J62" s="11">
        <f>SUM(J56:J61)</f>
        <v>196024520</v>
      </c>
    </row>
    <row r="63" spans="1:10" x14ac:dyDescent="0.2">
      <c r="A63" s="1"/>
      <c r="B63" s="3"/>
      <c r="C63" s="2"/>
      <c r="D63" s="3"/>
      <c r="E63" s="2"/>
      <c r="F63" s="3"/>
      <c r="G63" s="2"/>
      <c r="H63" s="2"/>
      <c r="I63" s="2"/>
      <c r="J63" s="2"/>
    </row>
    <row r="64" spans="1:10" x14ac:dyDescent="0.2">
      <c r="A64" s="4" t="s">
        <v>72</v>
      </c>
      <c r="B64" s="4" t="s">
        <v>0</v>
      </c>
      <c r="C64" s="4" t="s">
        <v>1</v>
      </c>
      <c r="D64" s="4" t="s">
        <v>2</v>
      </c>
      <c r="E64" s="4" t="s">
        <v>3</v>
      </c>
      <c r="F64" s="4" t="s">
        <v>4</v>
      </c>
      <c r="G64" s="4" t="s">
        <v>5</v>
      </c>
      <c r="H64" s="4" t="s">
        <v>6</v>
      </c>
      <c r="I64" s="4" t="s">
        <v>7</v>
      </c>
      <c r="J64" s="4" t="s">
        <v>8</v>
      </c>
    </row>
    <row r="65" spans="1:10" x14ac:dyDescent="0.2">
      <c r="A65" s="12" t="s">
        <v>46</v>
      </c>
      <c r="B65" s="13"/>
      <c r="C65" s="13"/>
      <c r="D65" s="14">
        <v>1880853</v>
      </c>
      <c r="E65" s="14">
        <v>1914323</v>
      </c>
      <c r="F65" s="14">
        <v>1859872</v>
      </c>
      <c r="G65" s="13"/>
      <c r="H65" s="13"/>
      <c r="I65" s="14">
        <v>2500508</v>
      </c>
      <c r="J65" s="14">
        <f>SUM(B65:I65)</f>
        <v>8155556</v>
      </c>
    </row>
    <row r="66" spans="1:10" x14ac:dyDescent="0.2">
      <c r="A66" s="6" t="s">
        <v>57</v>
      </c>
      <c r="B66" s="7">
        <v>140351</v>
      </c>
      <c r="C66" s="7">
        <v>1426491</v>
      </c>
      <c r="D66" s="7">
        <v>1534195</v>
      </c>
      <c r="E66" s="7">
        <v>176991</v>
      </c>
      <c r="F66" s="7">
        <v>70796</v>
      </c>
      <c r="G66" s="8"/>
      <c r="H66" s="7">
        <v>1249500</v>
      </c>
      <c r="I66" s="8"/>
      <c r="J66" s="14">
        <f t="shared" ref="J66:J72" si="4">SUM(B66:I66)</f>
        <v>4598324</v>
      </c>
    </row>
    <row r="67" spans="1:10" x14ac:dyDescent="0.2">
      <c r="A67" s="6" t="s">
        <v>58</v>
      </c>
      <c r="B67" s="7">
        <v>3794849</v>
      </c>
      <c r="C67" s="8"/>
      <c r="D67" s="7">
        <v>3794849</v>
      </c>
      <c r="E67" s="8"/>
      <c r="F67" s="7">
        <v>3794849</v>
      </c>
      <c r="G67" s="7">
        <v>1545719</v>
      </c>
      <c r="H67" s="7">
        <v>3224279</v>
      </c>
      <c r="I67" s="7">
        <v>1440509</v>
      </c>
      <c r="J67" s="14">
        <f t="shared" si="4"/>
        <v>17595054</v>
      </c>
    </row>
    <row r="68" spans="1:10" x14ac:dyDescent="0.2">
      <c r="A68" s="6" t="s">
        <v>63</v>
      </c>
      <c r="B68" s="7">
        <v>2342689</v>
      </c>
      <c r="C68" s="8"/>
      <c r="D68" s="7">
        <v>261057</v>
      </c>
      <c r="E68" s="7">
        <v>297217</v>
      </c>
      <c r="F68" s="7">
        <v>891813</v>
      </c>
      <c r="G68" s="7">
        <v>310876</v>
      </c>
      <c r="H68" s="7">
        <v>10351036</v>
      </c>
      <c r="I68" s="7">
        <v>12123313</v>
      </c>
      <c r="J68" s="14">
        <f t="shared" si="4"/>
        <v>26578001</v>
      </c>
    </row>
    <row r="69" spans="1:10" x14ac:dyDescent="0.2">
      <c r="A69" s="6" t="s">
        <v>64</v>
      </c>
      <c r="B69" s="8"/>
      <c r="C69" s="8"/>
      <c r="D69" s="8"/>
      <c r="E69" s="7">
        <v>1098650</v>
      </c>
      <c r="F69" s="8"/>
      <c r="G69" s="7">
        <v>677000</v>
      </c>
      <c r="H69" s="8"/>
      <c r="I69" s="8"/>
      <c r="J69" s="14">
        <f t="shared" si="4"/>
        <v>1775650</v>
      </c>
    </row>
    <row r="70" spans="1:10" x14ac:dyDescent="0.2">
      <c r="A70" s="6" t="s">
        <v>65</v>
      </c>
      <c r="B70" s="7">
        <v>141797</v>
      </c>
      <c r="C70" s="8"/>
      <c r="D70" s="8"/>
      <c r="E70" s="8"/>
      <c r="F70" s="8"/>
      <c r="G70" s="8"/>
      <c r="H70" s="8"/>
      <c r="I70" s="8"/>
      <c r="J70" s="14">
        <f t="shared" si="4"/>
        <v>141797</v>
      </c>
    </row>
    <row r="71" spans="1:10" x14ac:dyDescent="0.2">
      <c r="A71" s="6" t="s">
        <v>66</v>
      </c>
      <c r="B71" s="8"/>
      <c r="C71" s="8"/>
      <c r="D71" s="8"/>
      <c r="E71" s="8"/>
      <c r="F71" s="8"/>
      <c r="G71" s="8"/>
      <c r="H71" s="8"/>
      <c r="I71" s="7">
        <v>708050</v>
      </c>
      <c r="J71" s="14">
        <f t="shared" si="4"/>
        <v>708050</v>
      </c>
    </row>
    <row r="72" spans="1:10" x14ac:dyDescent="0.2">
      <c r="A72" s="6" t="s">
        <v>67</v>
      </c>
      <c r="B72" s="8"/>
      <c r="C72" s="7">
        <v>6984866</v>
      </c>
      <c r="D72" s="7">
        <v>666400</v>
      </c>
      <c r="E72" s="7">
        <v>70796</v>
      </c>
      <c r="F72" s="8"/>
      <c r="G72" s="8"/>
      <c r="H72" s="8"/>
      <c r="I72" s="8"/>
      <c r="J72" s="14">
        <f t="shared" si="4"/>
        <v>7722062</v>
      </c>
    </row>
    <row r="73" spans="1:10" x14ac:dyDescent="0.2">
      <c r="J73" s="9">
        <f>SUM(J65:J72)</f>
        <v>67274494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Harberton Gonzalez Ortiz</dc:creator>
  <cp:lastModifiedBy>Ricardo Harberton Gonzalez Ortiz</cp:lastModifiedBy>
  <dcterms:created xsi:type="dcterms:W3CDTF">2026-09-15T19:55:54Z</dcterms:created>
  <dcterms:modified xsi:type="dcterms:W3CDTF">2026-09-23T12:04:37Z</dcterms:modified>
</cp:coreProperties>
</file>